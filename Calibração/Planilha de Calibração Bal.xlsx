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olimixconcreto93-my.sharepoint.com/personal/lucas_santiago_mizu_com_br/Documents/Desktop/"/>
    </mc:Choice>
  </mc:AlternateContent>
  <xr:revisionPtr revIDLastSave="86" documentId="13_ncr:1_{2E8C9524-4A45-4B11-8B4E-64AC6757FFAB}" xr6:coauthVersionLast="47" xr6:coauthVersionMax="47" xr10:uidLastSave="{AA6F2496-83D5-4BD5-8B12-F49FE40364CA}"/>
  <bookViews>
    <workbookView xWindow="-120" yWindow="-120" windowWidth="29040" windowHeight="15720" activeTab="5" xr2:uid="{00000000-000D-0000-FFFF-FFFF00000000}"/>
  </bookViews>
  <sheets>
    <sheet name="CAL 18.02" sheetId="6" r:id="rId1"/>
    <sheet name="CAL 20.03" sheetId="5" r:id="rId2"/>
    <sheet name="CAL.02.04 " sheetId="7" r:id="rId3"/>
    <sheet name="CAL.14.04 " sheetId="8" r:id="rId4"/>
    <sheet name="CAL.07.05 " sheetId="9" r:id="rId5"/>
    <sheet name="CAL.04.03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7" i="2"/>
  <c r="G7" i="2"/>
  <c r="G5" i="2"/>
  <c r="F5" i="2"/>
  <c r="F7" i="2" s="1"/>
  <c r="E7" i="2"/>
  <c r="D7" i="2"/>
  <c r="C33" i="9"/>
  <c r="C35" i="9" s="1"/>
  <c r="B33" i="9"/>
  <c r="B35" i="9" s="1"/>
  <c r="E26" i="9"/>
  <c r="E28" i="9" s="1"/>
  <c r="D26" i="9"/>
  <c r="D28" i="9" s="1"/>
  <c r="C26" i="9"/>
  <c r="C28" i="9" s="1"/>
  <c r="B26" i="9"/>
  <c r="B28" i="9" s="1"/>
  <c r="E19" i="9"/>
  <c r="E21" i="9" s="1"/>
  <c r="D19" i="9"/>
  <c r="D21" i="9" s="1"/>
  <c r="C19" i="9"/>
  <c r="C21" i="9" s="1"/>
  <c r="B19" i="9"/>
  <c r="B21" i="9" s="1"/>
  <c r="E12" i="9"/>
  <c r="E14" i="9" s="1"/>
  <c r="D12" i="9"/>
  <c r="D14" i="9" s="1"/>
  <c r="C12" i="9"/>
  <c r="C14" i="9" s="1"/>
  <c r="B12" i="9"/>
  <c r="B14" i="9" s="1"/>
  <c r="E5" i="9"/>
  <c r="E7" i="9" s="1"/>
  <c r="D5" i="9"/>
  <c r="D7" i="9" s="1"/>
  <c r="C5" i="9"/>
  <c r="C7" i="9" s="1"/>
  <c r="B5" i="9"/>
  <c r="B7" i="9" s="1"/>
  <c r="E19" i="2"/>
  <c r="E21" i="2" s="1"/>
  <c r="D19" i="2"/>
  <c r="D21" i="2" s="1"/>
  <c r="D5" i="2"/>
  <c r="C5" i="2"/>
  <c r="C7" i="2" s="1"/>
  <c r="B5" i="2"/>
  <c r="E5" i="2"/>
  <c r="B7" i="2"/>
  <c r="C33" i="8"/>
  <c r="C35" i="8" s="1"/>
  <c r="B33" i="8"/>
  <c r="B35" i="8" s="1"/>
  <c r="E26" i="8"/>
  <c r="E28" i="8" s="1"/>
  <c r="D26" i="8"/>
  <c r="D28" i="8" s="1"/>
  <c r="C26" i="8"/>
  <c r="C28" i="8" s="1"/>
  <c r="B26" i="8"/>
  <c r="B28" i="8" s="1"/>
  <c r="D21" i="8"/>
  <c r="C21" i="8"/>
  <c r="B21" i="8"/>
  <c r="D19" i="8"/>
  <c r="C19" i="8"/>
  <c r="B19" i="8"/>
  <c r="D14" i="8"/>
  <c r="C14" i="8"/>
  <c r="D12" i="8"/>
  <c r="C12" i="8"/>
  <c r="B12" i="8"/>
  <c r="B14" i="8" s="1"/>
  <c r="B7" i="8"/>
  <c r="E5" i="8"/>
  <c r="E7" i="8" s="1"/>
  <c r="D5" i="8"/>
  <c r="D7" i="8" s="1"/>
  <c r="C5" i="8"/>
  <c r="C7" i="8" s="1"/>
  <c r="B5" i="8"/>
  <c r="B19" i="2"/>
  <c r="B21" i="2" s="1"/>
  <c r="H33" i="7"/>
  <c r="H35" i="7" s="1"/>
  <c r="G33" i="7"/>
  <c r="G35" i="7" s="1"/>
  <c r="F33" i="7"/>
  <c r="F35" i="7" s="1"/>
  <c r="E33" i="7"/>
  <c r="E35" i="7" s="1"/>
  <c r="D33" i="7"/>
  <c r="D35" i="7" s="1"/>
  <c r="C33" i="7"/>
  <c r="C35" i="7" s="1"/>
  <c r="B33" i="7"/>
  <c r="B35" i="7" s="1"/>
  <c r="J28" i="7"/>
  <c r="B28" i="7"/>
  <c r="J26" i="7"/>
  <c r="I26" i="7"/>
  <c r="I28" i="7" s="1"/>
  <c r="H26" i="7"/>
  <c r="H28" i="7" s="1"/>
  <c r="G26" i="7"/>
  <c r="G28" i="7" s="1"/>
  <c r="F26" i="7"/>
  <c r="F28" i="7" s="1"/>
  <c r="E26" i="7"/>
  <c r="E28" i="7" s="1"/>
  <c r="D26" i="7"/>
  <c r="D28" i="7" s="1"/>
  <c r="C26" i="7"/>
  <c r="C28" i="7" s="1"/>
  <c r="B26" i="7"/>
  <c r="F19" i="7"/>
  <c r="F21" i="7" s="1"/>
  <c r="E19" i="7"/>
  <c r="E21" i="7" s="1"/>
  <c r="D19" i="7"/>
  <c r="D21" i="7" s="1"/>
  <c r="C19" i="7"/>
  <c r="C21" i="7" s="1"/>
  <c r="B19" i="7"/>
  <c r="B21" i="7" s="1"/>
  <c r="J14" i="7"/>
  <c r="I14" i="7"/>
  <c r="H14" i="7"/>
  <c r="G14" i="7"/>
  <c r="F14" i="7"/>
  <c r="J12" i="7"/>
  <c r="I12" i="7"/>
  <c r="H12" i="7"/>
  <c r="G12" i="7"/>
  <c r="F12" i="7"/>
  <c r="E12" i="7"/>
  <c r="E14" i="7" s="1"/>
  <c r="D12" i="7"/>
  <c r="D14" i="7" s="1"/>
  <c r="C12" i="7"/>
  <c r="C14" i="7" s="1"/>
  <c r="B12" i="7"/>
  <c r="B14" i="7" s="1"/>
  <c r="E7" i="7"/>
  <c r="D7" i="7"/>
  <c r="C7" i="7"/>
  <c r="E5" i="7"/>
  <c r="D5" i="7"/>
  <c r="C5" i="7"/>
  <c r="B5" i="7"/>
  <c r="B7" i="7" s="1"/>
  <c r="C19" i="2"/>
  <c r="C21" i="2" s="1"/>
  <c r="C33" i="2"/>
  <c r="C35" i="2" s="1"/>
  <c r="B33" i="2"/>
  <c r="B35" i="2" s="1"/>
  <c r="H33" i="6"/>
  <c r="H35" i="6" s="1"/>
  <c r="G33" i="6"/>
  <c r="G35" i="6" s="1"/>
  <c r="F33" i="6"/>
  <c r="F35" i="6" s="1"/>
  <c r="E33" i="6"/>
  <c r="E35" i="6" s="1"/>
  <c r="D33" i="6"/>
  <c r="D35" i="6" s="1"/>
  <c r="C33" i="6"/>
  <c r="C35" i="6" s="1"/>
  <c r="B33" i="6"/>
  <c r="B35" i="6" s="1"/>
  <c r="F28" i="6"/>
  <c r="E28" i="6"/>
  <c r="D28" i="6"/>
  <c r="C28" i="6"/>
  <c r="B28" i="6"/>
  <c r="H26" i="6"/>
  <c r="H28" i="6" s="1"/>
  <c r="G26" i="6"/>
  <c r="G28" i="6" s="1"/>
  <c r="F26" i="6"/>
  <c r="E26" i="6"/>
  <c r="D26" i="6"/>
  <c r="C26" i="6"/>
  <c r="B26" i="6"/>
  <c r="D21" i="6"/>
  <c r="C21" i="6"/>
  <c r="B21" i="6"/>
  <c r="H19" i="6"/>
  <c r="H21" i="6" s="1"/>
  <c r="G19" i="6"/>
  <c r="G21" i="6" s="1"/>
  <c r="F19" i="6"/>
  <c r="F21" i="6" s="1"/>
  <c r="E19" i="6"/>
  <c r="E21" i="6" s="1"/>
  <c r="D19" i="6"/>
  <c r="C19" i="6"/>
  <c r="B19" i="6"/>
  <c r="E5" i="6"/>
  <c r="E7" i="6" s="1"/>
  <c r="D5" i="6"/>
  <c r="D7" i="6" s="1"/>
  <c r="C5" i="6"/>
  <c r="C7" i="6" s="1"/>
  <c r="B5" i="6"/>
  <c r="B7" i="6" s="1"/>
  <c r="I12" i="5"/>
  <c r="I14" i="5" s="1"/>
  <c r="H12" i="5"/>
  <c r="H14" i="5" s="1"/>
  <c r="G12" i="5"/>
  <c r="G14" i="5" s="1"/>
  <c r="F12" i="5"/>
  <c r="F14" i="5" s="1"/>
  <c r="E12" i="5"/>
  <c r="E14" i="5" s="1"/>
  <c r="D12" i="5"/>
  <c r="D14" i="5"/>
  <c r="C14" i="5"/>
  <c r="C12" i="5"/>
  <c r="B12" i="5"/>
  <c r="B14" i="5" s="1"/>
</calcChain>
</file>

<file path=xl/sharedStrings.xml><?xml version="1.0" encoding="utf-8"?>
<sst xmlns="http://schemas.openxmlformats.org/spreadsheetml/2006/main" count="461" uniqueCount="44">
  <si>
    <t>TARA</t>
  </si>
  <si>
    <t>PEDIDO</t>
  </si>
  <si>
    <t>PESO IDEAL</t>
  </si>
  <si>
    <t>MEDIÇÃO _1</t>
  </si>
  <si>
    <t>MEDIÇÃO_2</t>
  </si>
  <si>
    <t>MEDIÇÃO_3</t>
  </si>
  <si>
    <t>PESO REAL</t>
  </si>
  <si>
    <t>MEDIÇÃO_4</t>
  </si>
  <si>
    <t>MEDIÇÃO_5</t>
  </si>
  <si>
    <t>DADOS</t>
  </si>
  <si>
    <t>MEDIÇÃO_6</t>
  </si>
  <si>
    <t>MEDIÇÃO_7</t>
  </si>
  <si>
    <t>ERRO %</t>
  </si>
  <si>
    <t>CALBRAÇÃO CLINQUER 20.03.2025 (Z1A01)</t>
  </si>
  <si>
    <t>CALBRAÇÃO GESSO20.03.2025 (Z1B01)</t>
  </si>
  <si>
    <t>CALIBRAÇÃO POZOLANO 20.03.2025 (Z1C01)</t>
  </si>
  <si>
    <t>CALBRAÇÃO ESCORIA 20.03.2025 (Z1D01)</t>
  </si>
  <si>
    <t>CALBRAÇÃO POZOLANO 20.03.2025(Z1E01)</t>
  </si>
  <si>
    <t>CALBRAÇÃO CLINQUER 28.02.2025 (Z1A01)</t>
  </si>
  <si>
    <t>CALBRAÇÃO GESSO 28.02.2025 (Z1B01)</t>
  </si>
  <si>
    <t>CALIBRAÇÃO POZOLANO 28.02.2025 (Z1C01)</t>
  </si>
  <si>
    <t>CALBRAÇÃO ESCORIA 28.02.2025 (Z1D01)</t>
  </si>
  <si>
    <t>CALBRAÇÃO POZOLANO 28.02.2025 (Z1E01)</t>
  </si>
  <si>
    <t>MEDIÇÃO_8</t>
  </si>
  <si>
    <t>MEDIÇÃO_9</t>
  </si>
  <si>
    <t>CALBRAÇÃO CLINQUER 02.04.2025 (Z1A01)</t>
  </si>
  <si>
    <t>CALBRAÇÃO GESSO 02.04.2025 (Z1B01)</t>
  </si>
  <si>
    <t>CALBRAÇÃO ESCORIA 02.04.2025 (Z1D01)</t>
  </si>
  <si>
    <t>CALBRAÇÃO POZOLANO 02.04.2025 (Z1E01)</t>
  </si>
  <si>
    <t>CALIBRAÇÃO POZOLANO 12.04.2025 (Z1C01)</t>
  </si>
  <si>
    <t>CALBRAÇÃO CLINQUER 14.04.2025 (Z1A01)</t>
  </si>
  <si>
    <t>CALBRAÇÃO GESSO 14.04.2025 (Z1B01)</t>
  </si>
  <si>
    <t>CALBRAÇÃO ESCORIA 14.04.2025 (Z1D01)</t>
  </si>
  <si>
    <t>CALBRAÇÃO POZOLANO 14.04.2025 (Z1E01)</t>
  </si>
  <si>
    <t>CALBRAÇÃO GESSO 07.05.2025 (Z1B01)</t>
  </si>
  <si>
    <t>CALBRAÇÃO CLINQUER 07.05.2025 (Z1A01)</t>
  </si>
  <si>
    <t>CALIBRAÇÃO POZOLANO 07.05.2025 (Z1C01)</t>
  </si>
  <si>
    <t>CALBRAÇÃO ESCORIA 07.05.2025 (Z1D01)</t>
  </si>
  <si>
    <t>CALBRAÇÃO POZOLANO 07.05.2025 (Z1E01)</t>
  </si>
  <si>
    <t>CALIBRAÇÃO POZOLANO 04.03.2026 (Z1C01)</t>
  </si>
  <si>
    <t>CALIBRAÇÃO CLINQUER 04.03.2026 (Z1A01)</t>
  </si>
  <si>
    <t>CALIBRAÇÃO GESSO 04.03.2026 (Z1B01)</t>
  </si>
  <si>
    <t>CALIBRAÇÃO ESCORIA 04.03.2025 (Z1D01)</t>
  </si>
  <si>
    <t>CALIBRAÇÃO POZOLANO 04.03.2025 (Z1E01)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</si>
</sst>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4514-6D9D-47F8-BB2C-506012A93513}">
  <dimension ref="A1:K35"/>
  <sheetViews>
    <sheetView workbookViewId="0">
      <selection activeCell="I12" sqref="I12"/>
    </sheetView>
  </sheetViews>
  <sheetFormatPr defaultRowHeight="15" x14ac:dyDescent="0.25"/>
  <cols>
    <col min="1" max="1" width="21.140625" customWidth="1"/>
    <col min="2" max="2" width="25.5703125" customWidth="1"/>
    <col min="3" max="3" width="26.28515625" customWidth="1"/>
    <col min="4" max="4" width="21.7109375" customWidth="1"/>
    <col min="5" max="5" width="28.7109375" customWidth="1"/>
    <col min="6" max="6" width="18.42578125" customWidth="1"/>
    <col min="7" max="7" width="22.85546875" customWidth="1"/>
    <col min="8" max="8" width="25" customWidth="1"/>
    <col min="9" max="9" width="23.7109375" customWidth="1"/>
    <col min="10" max="10" width="20" customWidth="1"/>
    <col min="11" max="11" width="22.28515625" customWidth="1"/>
    <col min="12" max="12" width="18.28515625" customWidth="1"/>
  </cols>
  <sheetData>
    <row r="1" spans="1:11" x14ac:dyDescent="0.25">
      <c r="A1" s="8" t="s">
        <v>18</v>
      </c>
      <c r="B1" s="8"/>
      <c r="C1" s="8"/>
      <c r="D1" s="8"/>
      <c r="E1" s="8"/>
      <c r="F1" s="8"/>
      <c r="G1" s="8"/>
      <c r="H1" s="8"/>
    </row>
    <row r="2" spans="1:11" x14ac:dyDescent="0.25">
      <c r="A2" s="2" t="s">
        <v>9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8</v>
      </c>
      <c r="G2" s="3" t="s">
        <v>10</v>
      </c>
      <c r="H2" s="3" t="s">
        <v>11</v>
      </c>
    </row>
    <row r="3" spans="1:11" x14ac:dyDescent="0.25">
      <c r="A3" t="s">
        <v>0</v>
      </c>
      <c r="B3" s="1">
        <v>18580</v>
      </c>
      <c r="C3" s="1">
        <v>22660</v>
      </c>
      <c r="D3" s="1">
        <v>13260</v>
      </c>
      <c r="E3" s="1">
        <v>17240</v>
      </c>
      <c r="F3" s="1"/>
      <c r="G3" s="1"/>
      <c r="H3" s="1"/>
    </row>
    <row r="4" spans="1:11" x14ac:dyDescent="0.25">
      <c r="A4" t="s">
        <v>1</v>
      </c>
      <c r="B4" s="1">
        <v>4000</v>
      </c>
      <c r="C4" s="1">
        <v>4000</v>
      </c>
      <c r="D4" s="1">
        <v>4000</v>
      </c>
      <c r="E4" s="1">
        <v>4000</v>
      </c>
      <c r="F4" s="1"/>
      <c r="G4" s="1"/>
      <c r="H4" s="1"/>
    </row>
    <row r="5" spans="1:11" x14ac:dyDescent="0.25">
      <c r="A5" t="s">
        <v>2</v>
      </c>
      <c r="B5" s="1">
        <f>B3+B4</f>
        <v>22580</v>
      </c>
      <c r="C5" s="1">
        <f>C3+C4</f>
        <v>26660</v>
      </c>
      <c r="D5" s="1">
        <f>D3+D4</f>
        <v>17260</v>
      </c>
      <c r="E5" s="1">
        <f>E3+E4</f>
        <v>21240</v>
      </c>
      <c r="F5" s="1"/>
      <c r="G5" s="1"/>
      <c r="H5" s="1"/>
    </row>
    <row r="6" spans="1:11" x14ac:dyDescent="0.25">
      <c r="A6" t="s">
        <v>6</v>
      </c>
      <c r="B6" s="1">
        <v>22660</v>
      </c>
      <c r="C6" s="1">
        <v>26860</v>
      </c>
      <c r="D6" s="1">
        <v>17240</v>
      </c>
      <c r="E6" s="1">
        <v>21180</v>
      </c>
      <c r="F6" s="1"/>
      <c r="G6" s="1"/>
      <c r="H6" s="1"/>
    </row>
    <row r="7" spans="1:11" x14ac:dyDescent="0.25">
      <c r="A7" t="s">
        <v>12</v>
      </c>
      <c r="B7" s="1">
        <f t="shared" ref="B7:E7" si="0">((B6-B5)/B4)*100</f>
        <v>2</v>
      </c>
      <c r="C7" s="1">
        <f t="shared" si="0"/>
        <v>5</v>
      </c>
      <c r="D7" s="1">
        <f t="shared" si="0"/>
        <v>-0.5</v>
      </c>
      <c r="E7" s="1">
        <f t="shared" si="0"/>
        <v>-1.5</v>
      </c>
      <c r="F7" s="1"/>
      <c r="G7" s="1"/>
      <c r="H7" s="1"/>
    </row>
    <row r="8" spans="1:11" x14ac:dyDescent="0.25">
      <c r="A8" s="8" t="s">
        <v>19</v>
      </c>
      <c r="B8" s="8"/>
      <c r="C8" s="8"/>
      <c r="D8" s="8"/>
      <c r="E8" s="8"/>
      <c r="F8" s="8"/>
      <c r="G8" s="8"/>
      <c r="H8" s="8"/>
    </row>
    <row r="9" spans="1:11" x14ac:dyDescent="0.25">
      <c r="A9" s="2" t="s">
        <v>9</v>
      </c>
      <c r="B9" s="3" t="s">
        <v>3</v>
      </c>
      <c r="C9" s="3" t="s">
        <v>4</v>
      </c>
      <c r="D9" s="3" t="s">
        <v>5</v>
      </c>
      <c r="E9" s="3" t="s">
        <v>7</v>
      </c>
      <c r="F9" s="3" t="s">
        <v>8</v>
      </c>
      <c r="G9" s="3" t="s">
        <v>10</v>
      </c>
      <c r="H9" s="3" t="s">
        <v>11</v>
      </c>
      <c r="I9" s="1"/>
    </row>
    <row r="10" spans="1:11" x14ac:dyDescent="0.25">
      <c r="A10" t="s">
        <v>0</v>
      </c>
      <c r="B10" s="1"/>
      <c r="C10" s="1"/>
      <c r="D10" s="1"/>
      <c r="E10" s="1"/>
      <c r="F10" s="1"/>
      <c r="G10" s="1"/>
      <c r="H10" s="1"/>
      <c r="I10" s="1"/>
    </row>
    <row r="11" spans="1:11" x14ac:dyDescent="0.25">
      <c r="A11" t="s">
        <v>1</v>
      </c>
      <c r="B11" s="1"/>
      <c r="C11" s="1"/>
      <c r="D11" s="1"/>
      <c r="E11" s="1"/>
      <c r="F11" s="1"/>
      <c r="G11" s="1"/>
      <c r="H11" s="1"/>
      <c r="I11" s="1"/>
    </row>
    <row r="12" spans="1:11" x14ac:dyDescent="0.25">
      <c r="A12" t="s">
        <v>2</v>
      </c>
      <c r="B12" s="1"/>
      <c r="C12" s="1"/>
      <c r="D12" s="1"/>
      <c r="E12" s="1"/>
      <c r="F12" s="1"/>
      <c r="G12" s="1"/>
      <c r="H12" s="1"/>
      <c r="I12" s="1"/>
    </row>
    <row r="13" spans="1:11" x14ac:dyDescent="0.25">
      <c r="A13" t="s">
        <v>6</v>
      </c>
      <c r="B13" s="1"/>
      <c r="C13" s="1"/>
      <c r="D13" s="1"/>
      <c r="E13" s="1"/>
      <c r="F13" s="1"/>
      <c r="G13" s="1"/>
      <c r="H13" s="1"/>
      <c r="I13" s="1"/>
    </row>
    <row r="14" spans="1:11" x14ac:dyDescent="0.25">
      <c r="A14" t="s">
        <v>12</v>
      </c>
      <c r="B14" s="1"/>
      <c r="C14" s="1"/>
      <c r="D14" s="1"/>
      <c r="E14" s="1"/>
      <c r="F14" s="1"/>
      <c r="G14" s="1"/>
      <c r="H14" s="1"/>
      <c r="I14" s="1"/>
    </row>
    <row r="15" spans="1:11" x14ac:dyDescent="0.25">
      <c r="A15" s="8" t="s">
        <v>20</v>
      </c>
      <c r="B15" s="8"/>
      <c r="C15" s="8"/>
      <c r="D15" s="8"/>
      <c r="E15" s="8"/>
      <c r="F15" s="8"/>
      <c r="G15" s="8"/>
      <c r="H15" s="8"/>
    </row>
    <row r="16" spans="1:11" x14ac:dyDescent="0.25">
      <c r="A16" s="2" t="s">
        <v>9</v>
      </c>
      <c r="B16" s="3" t="s">
        <v>3</v>
      </c>
      <c r="C16" s="3" t="s">
        <v>4</v>
      </c>
      <c r="D16" s="3" t="s">
        <v>5</v>
      </c>
      <c r="E16" s="3" t="s">
        <v>7</v>
      </c>
      <c r="F16" s="3" t="s">
        <v>8</v>
      </c>
      <c r="G16" s="3" t="s">
        <v>10</v>
      </c>
      <c r="H16" s="3" t="s">
        <v>11</v>
      </c>
      <c r="I16" s="1"/>
      <c r="J16" s="1"/>
      <c r="K16" s="1"/>
    </row>
    <row r="17" spans="1:11" x14ac:dyDescent="0.25">
      <c r="A17" t="s">
        <v>0</v>
      </c>
      <c r="B17" s="1">
        <v>14000</v>
      </c>
      <c r="C17" s="1">
        <v>17780</v>
      </c>
      <c r="D17" s="1">
        <v>21420</v>
      </c>
      <c r="E17" s="1">
        <v>13300</v>
      </c>
      <c r="F17" s="1">
        <v>17270</v>
      </c>
      <c r="G17" s="1"/>
      <c r="H17" s="1"/>
      <c r="I17" s="1"/>
      <c r="J17" s="1"/>
      <c r="K17" s="1"/>
    </row>
    <row r="18" spans="1:11" x14ac:dyDescent="0.25">
      <c r="A18" t="s">
        <v>1</v>
      </c>
      <c r="B18" s="1">
        <v>4000</v>
      </c>
      <c r="C18" s="1">
        <v>4000</v>
      </c>
      <c r="D18" s="1">
        <v>4000</v>
      </c>
      <c r="E18" s="1">
        <v>4000</v>
      </c>
      <c r="F18" s="1">
        <v>4000</v>
      </c>
      <c r="G18" s="1">
        <v>4000</v>
      </c>
      <c r="H18" s="1">
        <v>4000</v>
      </c>
      <c r="I18" s="1"/>
      <c r="J18" s="1"/>
      <c r="K18" s="1"/>
    </row>
    <row r="19" spans="1:11" x14ac:dyDescent="0.25">
      <c r="A19" t="s">
        <v>2</v>
      </c>
      <c r="B19" s="1">
        <f>B17+B18</f>
        <v>18000</v>
      </c>
      <c r="C19" s="1">
        <f>C17+C18</f>
        <v>21780</v>
      </c>
      <c r="D19" s="1">
        <f t="shared" ref="D19:E19" si="1">D17+D18</f>
        <v>25420</v>
      </c>
      <c r="E19" s="1">
        <f t="shared" si="1"/>
        <v>17300</v>
      </c>
      <c r="F19" s="1">
        <f>F17+F18</f>
        <v>21270</v>
      </c>
      <c r="G19" s="1">
        <f>G17+G18</f>
        <v>4000</v>
      </c>
      <c r="H19" s="1">
        <f>H17+H18</f>
        <v>4000</v>
      </c>
      <c r="I19" s="1"/>
      <c r="J19" s="1"/>
      <c r="K19" s="1"/>
    </row>
    <row r="20" spans="1:11" x14ac:dyDescent="0.25">
      <c r="A20" t="s">
        <v>6</v>
      </c>
      <c r="B20" s="1">
        <v>17780</v>
      </c>
      <c r="C20" s="1">
        <v>21420</v>
      </c>
      <c r="D20" s="1">
        <v>25280</v>
      </c>
      <c r="E20" s="1">
        <v>17270</v>
      </c>
      <c r="F20" s="1"/>
      <c r="G20" s="1"/>
      <c r="H20" s="1"/>
      <c r="I20" s="1"/>
      <c r="J20" s="1"/>
      <c r="K20" s="1"/>
    </row>
    <row r="21" spans="1:11" x14ac:dyDescent="0.25">
      <c r="A21" t="s">
        <v>12</v>
      </c>
      <c r="B21" s="1">
        <f>((B20-B19)/B18)*100</f>
        <v>-5.5</v>
      </c>
      <c r="C21" s="1">
        <f t="shared" ref="C21:H21" si="2">((C20-C19)/C18)*100</f>
        <v>-9</v>
      </c>
      <c r="D21" s="1">
        <f t="shared" si="2"/>
        <v>-3.5000000000000004</v>
      </c>
      <c r="E21" s="1">
        <f t="shared" si="2"/>
        <v>-0.75</v>
      </c>
      <c r="F21" s="1">
        <f t="shared" si="2"/>
        <v>-531.75</v>
      </c>
      <c r="G21" s="1">
        <f t="shared" si="2"/>
        <v>-100</v>
      </c>
      <c r="H21" s="1">
        <f t="shared" si="2"/>
        <v>-100</v>
      </c>
      <c r="I21" s="1"/>
      <c r="J21" s="1"/>
      <c r="K21" s="1"/>
    </row>
    <row r="22" spans="1:11" x14ac:dyDescent="0.25">
      <c r="A22" s="8" t="s">
        <v>21</v>
      </c>
      <c r="B22" s="8"/>
      <c r="C22" s="8"/>
      <c r="D22" s="8"/>
      <c r="E22" s="8"/>
      <c r="F22" s="8"/>
      <c r="G22" s="8"/>
      <c r="H22" s="8"/>
    </row>
    <row r="23" spans="1:11" x14ac:dyDescent="0.25">
      <c r="A23" s="2" t="s">
        <v>9</v>
      </c>
      <c r="B23" s="3" t="s">
        <v>3</v>
      </c>
      <c r="C23" s="3" t="s">
        <v>4</v>
      </c>
      <c r="D23" s="3" t="s">
        <v>5</v>
      </c>
      <c r="E23" s="3" t="s">
        <v>7</v>
      </c>
      <c r="F23" s="3" t="s">
        <v>8</v>
      </c>
      <c r="G23" s="3" t="s">
        <v>10</v>
      </c>
      <c r="H23" s="3" t="s">
        <v>11</v>
      </c>
    </row>
    <row r="24" spans="1:11" x14ac:dyDescent="0.25">
      <c r="A24" t="s">
        <v>0</v>
      </c>
      <c r="B24" s="1">
        <v>12280</v>
      </c>
      <c r="C24" s="1">
        <v>12280</v>
      </c>
      <c r="D24" s="1">
        <v>12280</v>
      </c>
      <c r="E24" s="1">
        <v>12280</v>
      </c>
      <c r="F24" s="1">
        <v>12280</v>
      </c>
      <c r="G24" s="1">
        <v>12280</v>
      </c>
      <c r="H24" s="1">
        <v>12280</v>
      </c>
      <c r="I24" s="1"/>
      <c r="J24" s="1"/>
      <c r="K24" s="1"/>
    </row>
    <row r="25" spans="1:11" x14ac:dyDescent="0.25">
      <c r="A25" t="s">
        <v>1</v>
      </c>
      <c r="B25" s="1">
        <v>2000</v>
      </c>
      <c r="C25" s="1">
        <v>2000</v>
      </c>
      <c r="D25" s="1">
        <v>2000</v>
      </c>
      <c r="E25" s="1">
        <v>2000</v>
      </c>
      <c r="F25" s="1">
        <v>2000</v>
      </c>
      <c r="G25" s="1">
        <v>2000</v>
      </c>
      <c r="H25" s="1">
        <v>2000</v>
      </c>
      <c r="I25" s="1"/>
      <c r="J25" s="1"/>
      <c r="K25" s="1"/>
    </row>
    <row r="26" spans="1:11" x14ac:dyDescent="0.25">
      <c r="A26" t="s">
        <v>2</v>
      </c>
      <c r="B26" s="1">
        <f t="shared" ref="B26:H26" si="3">B24+B25</f>
        <v>14280</v>
      </c>
      <c r="C26" s="1">
        <f t="shared" si="3"/>
        <v>14280</v>
      </c>
      <c r="D26" s="1">
        <f t="shared" si="3"/>
        <v>14280</v>
      </c>
      <c r="E26" s="1">
        <f t="shared" si="3"/>
        <v>14280</v>
      </c>
      <c r="F26" s="1">
        <f t="shared" si="3"/>
        <v>14280</v>
      </c>
      <c r="G26" s="1">
        <f t="shared" si="3"/>
        <v>14280</v>
      </c>
      <c r="H26" s="1">
        <f t="shared" si="3"/>
        <v>14280</v>
      </c>
      <c r="I26" s="1"/>
      <c r="J26" s="1"/>
      <c r="K26" s="1"/>
    </row>
    <row r="27" spans="1:11" x14ac:dyDescent="0.25">
      <c r="A27" t="s">
        <v>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t="s">
        <v>12</v>
      </c>
      <c r="B28" s="1">
        <f t="shared" ref="B28:H28" si="4">((B27-B26)/B25)*100</f>
        <v>-714</v>
      </c>
      <c r="C28" s="1">
        <f t="shared" si="4"/>
        <v>-714</v>
      </c>
      <c r="D28" s="1">
        <f t="shared" si="4"/>
        <v>-714</v>
      </c>
      <c r="E28" s="1">
        <f t="shared" si="4"/>
        <v>-714</v>
      </c>
      <c r="F28" s="1">
        <f t="shared" si="4"/>
        <v>-714</v>
      </c>
      <c r="G28" s="1">
        <f t="shared" si="4"/>
        <v>-714</v>
      </c>
      <c r="H28" s="1">
        <f t="shared" si="4"/>
        <v>-714</v>
      </c>
      <c r="I28" s="1"/>
      <c r="J28" s="1"/>
      <c r="K28" s="1"/>
    </row>
    <row r="29" spans="1:11" x14ac:dyDescent="0.25">
      <c r="A29" s="8" t="s">
        <v>22</v>
      </c>
      <c r="B29" s="8"/>
      <c r="C29" s="8"/>
      <c r="D29" s="8"/>
      <c r="E29" s="8"/>
      <c r="F29" s="8"/>
      <c r="G29" s="8"/>
      <c r="H29" s="8"/>
    </row>
    <row r="30" spans="1:11" x14ac:dyDescent="0.25">
      <c r="A30" s="2" t="s">
        <v>9</v>
      </c>
      <c r="B30" s="3" t="s">
        <v>3</v>
      </c>
      <c r="C30" s="3" t="s">
        <v>4</v>
      </c>
      <c r="D30" s="3" t="s">
        <v>5</v>
      </c>
      <c r="E30" s="3" t="s">
        <v>7</v>
      </c>
      <c r="F30" s="3" t="s">
        <v>8</v>
      </c>
      <c r="G30" s="3" t="s">
        <v>10</v>
      </c>
      <c r="H30" s="3" t="s">
        <v>11</v>
      </c>
    </row>
    <row r="31" spans="1:11" x14ac:dyDescent="0.25">
      <c r="A31" t="s">
        <v>0</v>
      </c>
      <c r="B31" s="1">
        <v>12400</v>
      </c>
      <c r="C31" s="1">
        <v>14360</v>
      </c>
      <c r="D31" s="1">
        <v>16320</v>
      </c>
      <c r="E31" s="1">
        <v>18280</v>
      </c>
      <c r="F31" s="1">
        <v>11980</v>
      </c>
      <c r="G31" s="1">
        <v>17120</v>
      </c>
      <c r="H31" s="1">
        <v>19120</v>
      </c>
    </row>
    <row r="32" spans="1:11" x14ac:dyDescent="0.25">
      <c r="A32" t="s">
        <v>1</v>
      </c>
      <c r="B32" s="1">
        <v>2000</v>
      </c>
      <c r="C32" s="1">
        <v>2000</v>
      </c>
      <c r="D32" s="1">
        <v>2000</v>
      </c>
      <c r="E32" s="1">
        <v>2000</v>
      </c>
      <c r="F32" s="1">
        <v>2000</v>
      </c>
      <c r="G32" s="1">
        <v>2000</v>
      </c>
      <c r="H32" s="1">
        <v>2000</v>
      </c>
    </row>
    <row r="33" spans="1:8" x14ac:dyDescent="0.25">
      <c r="A33" t="s">
        <v>2</v>
      </c>
      <c r="B33" s="1">
        <f t="shared" ref="B33:H33" si="5">B31+B32</f>
        <v>14400</v>
      </c>
      <c r="C33" s="1">
        <f t="shared" si="5"/>
        <v>16360</v>
      </c>
      <c r="D33" s="1">
        <f t="shared" si="5"/>
        <v>18320</v>
      </c>
      <c r="E33" s="1">
        <f t="shared" si="5"/>
        <v>20280</v>
      </c>
      <c r="F33" s="1">
        <f t="shared" si="5"/>
        <v>13980</v>
      </c>
      <c r="G33" s="1">
        <f t="shared" si="5"/>
        <v>19120</v>
      </c>
      <c r="H33" s="1">
        <f t="shared" si="5"/>
        <v>21120</v>
      </c>
    </row>
    <row r="34" spans="1:8" x14ac:dyDescent="0.25">
      <c r="A34" t="s">
        <v>6</v>
      </c>
      <c r="B34" s="1">
        <v>14360</v>
      </c>
      <c r="C34" s="1">
        <v>16320</v>
      </c>
      <c r="D34" s="1">
        <v>18280</v>
      </c>
      <c r="E34" s="1">
        <v>20220</v>
      </c>
      <c r="F34" s="1">
        <v>14000</v>
      </c>
      <c r="G34" s="1">
        <v>19120</v>
      </c>
      <c r="H34" s="1">
        <v>21120</v>
      </c>
    </row>
    <row r="35" spans="1:8" x14ac:dyDescent="0.25">
      <c r="A35" t="s">
        <v>12</v>
      </c>
      <c r="B35" s="1">
        <f t="shared" ref="B35:H35" si="6">((B34-B33)/B32)*100</f>
        <v>-2</v>
      </c>
      <c r="C35" s="1">
        <f t="shared" si="6"/>
        <v>-2</v>
      </c>
      <c r="D35" s="1">
        <f t="shared" si="6"/>
        <v>-2</v>
      </c>
      <c r="E35" s="1">
        <f t="shared" si="6"/>
        <v>-3</v>
      </c>
      <c r="F35" s="1">
        <f t="shared" si="6"/>
        <v>1</v>
      </c>
      <c r="G35" s="1">
        <f t="shared" si="6"/>
        <v>0</v>
      </c>
      <c r="H35" s="1">
        <f t="shared" si="6"/>
        <v>0</v>
      </c>
    </row>
  </sheetData>
  <mergeCells count="5">
    <mergeCell ref="A1:H1"/>
    <mergeCell ref="A8:H8"/>
    <mergeCell ref="A15:H15"/>
    <mergeCell ref="A22:H22"/>
    <mergeCell ref="A29:H2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9C6F-D750-4799-BE53-D6E12EBBA9BB}">
  <dimension ref="A1:K35"/>
  <sheetViews>
    <sheetView workbookViewId="0">
      <selection activeCell="B10" sqref="B10:B14"/>
    </sheetView>
  </sheetViews>
  <sheetFormatPr defaultRowHeight="15" x14ac:dyDescent="0.25"/>
  <cols>
    <col min="1" max="1" width="21.140625" customWidth="1"/>
    <col min="2" max="2" width="25.5703125" customWidth="1"/>
    <col min="3" max="3" width="26.28515625" customWidth="1"/>
    <col min="4" max="4" width="21.7109375" customWidth="1"/>
    <col min="5" max="5" width="28.7109375" customWidth="1"/>
    <col min="6" max="6" width="18.42578125" customWidth="1"/>
    <col min="7" max="7" width="22.85546875" customWidth="1"/>
    <col min="8" max="8" width="25" customWidth="1"/>
    <col min="9" max="9" width="23.7109375" customWidth="1"/>
    <col min="10" max="10" width="20" customWidth="1"/>
    <col min="11" max="11" width="22.28515625" customWidth="1"/>
    <col min="12" max="12" width="18.28515625" customWidth="1"/>
  </cols>
  <sheetData>
    <row r="1" spans="1:11" x14ac:dyDescent="0.25">
      <c r="A1" s="8" t="s">
        <v>13</v>
      </c>
      <c r="B1" s="8"/>
      <c r="C1" s="8"/>
      <c r="D1" s="8"/>
      <c r="E1" s="8"/>
      <c r="F1" s="8"/>
      <c r="G1" s="8"/>
      <c r="H1" s="8"/>
    </row>
    <row r="2" spans="1:11" x14ac:dyDescent="0.25">
      <c r="A2" s="2" t="s">
        <v>9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8</v>
      </c>
      <c r="G2" s="3" t="s">
        <v>10</v>
      </c>
      <c r="H2" s="3" t="s">
        <v>11</v>
      </c>
    </row>
    <row r="3" spans="1:11" x14ac:dyDescent="0.25">
      <c r="A3" t="s">
        <v>0</v>
      </c>
      <c r="B3" s="1"/>
      <c r="C3" s="1"/>
      <c r="D3" s="1"/>
      <c r="E3" s="1"/>
      <c r="F3" s="1"/>
      <c r="G3" s="1"/>
      <c r="H3" s="1"/>
    </row>
    <row r="4" spans="1:11" x14ac:dyDescent="0.25">
      <c r="A4" t="s">
        <v>1</v>
      </c>
      <c r="B4" s="1"/>
      <c r="C4" s="1"/>
      <c r="D4" s="1"/>
      <c r="E4" s="1"/>
      <c r="F4" s="1"/>
      <c r="G4" s="1"/>
      <c r="H4" s="1"/>
    </row>
    <row r="5" spans="1:11" x14ac:dyDescent="0.25">
      <c r="A5" t="s">
        <v>2</v>
      </c>
      <c r="B5" s="1"/>
      <c r="C5" s="1"/>
      <c r="D5" s="1"/>
      <c r="E5" s="1"/>
      <c r="F5" s="1"/>
      <c r="G5" s="1"/>
      <c r="H5" s="1"/>
    </row>
    <row r="6" spans="1:11" x14ac:dyDescent="0.25">
      <c r="A6" t="s">
        <v>6</v>
      </c>
      <c r="B6" s="1"/>
      <c r="C6" s="1"/>
      <c r="D6" s="1"/>
      <c r="E6" s="1"/>
      <c r="F6" s="1"/>
      <c r="G6" s="1"/>
      <c r="H6" s="1"/>
    </row>
    <row r="7" spans="1:11" x14ac:dyDescent="0.25">
      <c r="A7" t="s">
        <v>12</v>
      </c>
      <c r="B7" s="1"/>
      <c r="C7" s="1"/>
      <c r="D7" s="1"/>
      <c r="E7" s="1"/>
      <c r="F7" s="1"/>
      <c r="G7" s="1"/>
      <c r="H7" s="1"/>
    </row>
    <row r="8" spans="1:11" x14ac:dyDescent="0.25">
      <c r="A8" s="8" t="s">
        <v>14</v>
      </c>
      <c r="B8" s="8"/>
      <c r="C8" s="8"/>
      <c r="D8" s="8"/>
      <c r="E8" s="8"/>
      <c r="F8" s="8"/>
      <c r="G8" s="8"/>
      <c r="H8" s="8"/>
      <c r="I8" s="8"/>
    </row>
    <row r="9" spans="1:11" x14ac:dyDescent="0.25">
      <c r="A9" s="2" t="s">
        <v>9</v>
      </c>
      <c r="B9" s="3" t="s">
        <v>3</v>
      </c>
      <c r="C9" s="3" t="s">
        <v>4</v>
      </c>
      <c r="D9" s="3" t="s">
        <v>5</v>
      </c>
      <c r="E9" s="3" t="s">
        <v>7</v>
      </c>
      <c r="F9" s="3" t="s">
        <v>8</v>
      </c>
      <c r="G9" s="3" t="s">
        <v>10</v>
      </c>
      <c r="H9" s="3" t="s">
        <v>11</v>
      </c>
      <c r="I9" s="3" t="s">
        <v>23</v>
      </c>
    </row>
    <row r="10" spans="1:11" x14ac:dyDescent="0.25">
      <c r="A10" t="s">
        <v>0</v>
      </c>
      <c r="B10" s="1">
        <v>10940</v>
      </c>
      <c r="C10" s="1">
        <v>12320</v>
      </c>
      <c r="D10" s="1">
        <v>13680</v>
      </c>
      <c r="E10" s="1">
        <v>10160</v>
      </c>
      <c r="F10" s="1">
        <v>11700</v>
      </c>
      <c r="G10" s="1">
        <v>13200</v>
      </c>
      <c r="H10" s="1">
        <v>16180</v>
      </c>
      <c r="I10" s="1">
        <v>17700</v>
      </c>
    </row>
    <row r="11" spans="1:11" x14ac:dyDescent="0.25">
      <c r="A11" t="s">
        <v>1</v>
      </c>
      <c r="B11" s="1">
        <v>1500</v>
      </c>
      <c r="C11" s="1">
        <v>1500</v>
      </c>
      <c r="D11" s="1">
        <v>1500</v>
      </c>
      <c r="E11" s="1">
        <v>1500</v>
      </c>
      <c r="F11" s="1">
        <v>1500</v>
      </c>
      <c r="G11" s="1">
        <v>1500</v>
      </c>
      <c r="H11" s="1">
        <v>1500</v>
      </c>
      <c r="I11" s="1">
        <v>1500</v>
      </c>
    </row>
    <row r="12" spans="1:11" x14ac:dyDescent="0.25">
      <c r="A12" t="s">
        <v>2</v>
      </c>
      <c r="B12" s="1">
        <f t="shared" ref="B12:I12" si="0">B10+B11</f>
        <v>12440</v>
      </c>
      <c r="C12" s="1">
        <f t="shared" si="0"/>
        <v>13820</v>
      </c>
      <c r="D12" s="1">
        <f t="shared" si="0"/>
        <v>15180</v>
      </c>
      <c r="E12" s="1">
        <f t="shared" si="0"/>
        <v>11660</v>
      </c>
      <c r="F12" s="1">
        <f t="shared" si="0"/>
        <v>13200</v>
      </c>
      <c r="G12" s="1">
        <f t="shared" si="0"/>
        <v>14700</v>
      </c>
      <c r="H12" s="1">
        <f t="shared" si="0"/>
        <v>17680</v>
      </c>
      <c r="I12" s="1">
        <f t="shared" si="0"/>
        <v>19200</v>
      </c>
    </row>
    <row r="13" spans="1:11" x14ac:dyDescent="0.25">
      <c r="A13" t="s">
        <v>6</v>
      </c>
      <c r="B13" s="1">
        <v>12320</v>
      </c>
      <c r="C13" s="1">
        <v>13680</v>
      </c>
      <c r="D13" s="1">
        <v>15220</v>
      </c>
      <c r="E13" s="1">
        <v>11700</v>
      </c>
      <c r="F13" s="1">
        <v>13200</v>
      </c>
      <c r="G13" s="1">
        <v>14600</v>
      </c>
      <c r="H13" s="1">
        <v>17700</v>
      </c>
      <c r="I13" s="1">
        <v>19200</v>
      </c>
    </row>
    <row r="14" spans="1:11" x14ac:dyDescent="0.25">
      <c r="A14" t="s">
        <v>12</v>
      </c>
      <c r="B14" s="1">
        <f t="shared" ref="B14:I14" si="1">((B13-B12)/B11)*100</f>
        <v>-8</v>
      </c>
      <c r="C14" s="1">
        <f t="shared" si="1"/>
        <v>-9.3333333333333339</v>
      </c>
      <c r="D14" s="1">
        <f t="shared" si="1"/>
        <v>2.666666666666667</v>
      </c>
      <c r="E14" s="1">
        <f t="shared" si="1"/>
        <v>2.666666666666667</v>
      </c>
      <c r="F14" s="1">
        <f t="shared" si="1"/>
        <v>0</v>
      </c>
      <c r="G14" s="1">
        <f t="shared" si="1"/>
        <v>-6.666666666666667</v>
      </c>
      <c r="H14" s="1">
        <f t="shared" si="1"/>
        <v>1.3333333333333335</v>
      </c>
      <c r="I14" s="1">
        <f t="shared" si="1"/>
        <v>0</v>
      </c>
    </row>
    <row r="15" spans="1:11" x14ac:dyDescent="0.25">
      <c r="A15" s="8" t="s">
        <v>15</v>
      </c>
      <c r="B15" s="8"/>
      <c r="C15" s="8"/>
      <c r="D15" s="8"/>
      <c r="E15" s="8"/>
      <c r="F15" s="8"/>
      <c r="G15" s="8"/>
      <c r="H15" s="8"/>
    </row>
    <row r="16" spans="1:11" x14ac:dyDescent="0.25">
      <c r="A16" s="2" t="s">
        <v>9</v>
      </c>
      <c r="B16" s="3" t="s">
        <v>3</v>
      </c>
      <c r="C16" s="3" t="s">
        <v>4</v>
      </c>
      <c r="D16" s="3" t="s">
        <v>5</v>
      </c>
      <c r="E16" s="3" t="s">
        <v>7</v>
      </c>
      <c r="F16" s="3" t="s">
        <v>8</v>
      </c>
      <c r="G16" s="3" t="s">
        <v>10</v>
      </c>
      <c r="H16" s="3" t="s">
        <v>11</v>
      </c>
      <c r="I16" s="1"/>
      <c r="J16" s="1"/>
      <c r="K16" s="1"/>
    </row>
    <row r="17" spans="1:11" x14ac:dyDescent="0.25">
      <c r="A17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t="s">
        <v>1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t="s">
        <v>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t="s">
        <v>12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8" t="s">
        <v>16</v>
      </c>
      <c r="B22" s="8"/>
      <c r="C22" s="8"/>
      <c r="D22" s="8"/>
      <c r="E22" s="8"/>
      <c r="F22" s="8"/>
      <c r="G22" s="8"/>
      <c r="H22" s="8"/>
    </row>
    <row r="23" spans="1:11" x14ac:dyDescent="0.25">
      <c r="A23" s="2" t="s">
        <v>9</v>
      </c>
      <c r="B23" s="3" t="s">
        <v>3</v>
      </c>
      <c r="C23" s="3" t="s">
        <v>4</v>
      </c>
      <c r="D23" s="3" t="s">
        <v>5</v>
      </c>
      <c r="E23" s="3" t="s">
        <v>7</v>
      </c>
      <c r="F23" s="3" t="s">
        <v>8</v>
      </c>
      <c r="G23" s="3" t="s">
        <v>10</v>
      </c>
      <c r="H23" s="3" t="s">
        <v>11</v>
      </c>
    </row>
    <row r="24" spans="1:11" x14ac:dyDescent="0.25">
      <c r="A24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t="s">
        <v>1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t="s">
        <v>2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t="s">
        <v>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t="s">
        <v>12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8" t="s">
        <v>17</v>
      </c>
      <c r="B29" s="8"/>
      <c r="C29" s="8"/>
      <c r="D29" s="8"/>
      <c r="E29" s="8"/>
      <c r="F29" s="8"/>
      <c r="G29" s="8"/>
      <c r="H29" s="8"/>
    </row>
    <row r="30" spans="1:11" x14ac:dyDescent="0.25">
      <c r="A30" s="2" t="s">
        <v>9</v>
      </c>
      <c r="B30" s="3" t="s">
        <v>3</v>
      </c>
      <c r="C30" s="3" t="s">
        <v>4</v>
      </c>
      <c r="D30" s="3" t="s">
        <v>5</v>
      </c>
      <c r="E30" s="3" t="s">
        <v>7</v>
      </c>
      <c r="F30" s="3" t="s">
        <v>8</v>
      </c>
      <c r="G30" s="3" t="s">
        <v>10</v>
      </c>
      <c r="H30" s="3" t="s">
        <v>11</v>
      </c>
    </row>
    <row r="31" spans="1:11" x14ac:dyDescent="0.25">
      <c r="A31" t="s">
        <v>0</v>
      </c>
      <c r="B31" s="1"/>
      <c r="C31" s="1"/>
      <c r="D31" s="1"/>
      <c r="E31" s="1"/>
      <c r="F31" s="1"/>
      <c r="G31" s="1"/>
      <c r="H31" s="1"/>
    </row>
    <row r="32" spans="1:11" x14ac:dyDescent="0.25">
      <c r="A32" t="s">
        <v>1</v>
      </c>
      <c r="B32" s="1"/>
      <c r="C32" s="1"/>
      <c r="D32" s="1"/>
      <c r="E32" s="1"/>
      <c r="F32" s="1"/>
      <c r="G32" s="1"/>
      <c r="H32" s="1"/>
    </row>
    <row r="33" spans="1:8" x14ac:dyDescent="0.25">
      <c r="A33" t="s">
        <v>2</v>
      </c>
      <c r="B33" s="1"/>
      <c r="C33" s="1"/>
      <c r="D33" s="1"/>
      <c r="E33" s="1"/>
      <c r="F33" s="1"/>
      <c r="G33" s="1"/>
      <c r="H33" s="1"/>
    </row>
    <row r="34" spans="1:8" x14ac:dyDescent="0.25">
      <c r="A34" t="s">
        <v>6</v>
      </c>
      <c r="B34" s="1"/>
      <c r="C34" s="1"/>
      <c r="D34" s="1"/>
      <c r="E34" s="1"/>
      <c r="F34" s="1"/>
      <c r="G34" s="1"/>
      <c r="H34" s="1"/>
    </row>
    <row r="35" spans="1:8" x14ac:dyDescent="0.25">
      <c r="A35" t="s">
        <v>12</v>
      </c>
      <c r="B35" s="1"/>
      <c r="C35" s="1"/>
      <c r="D35" s="1"/>
      <c r="E35" s="1"/>
      <c r="F35" s="1"/>
      <c r="G35" s="1"/>
      <c r="H35" s="1"/>
    </row>
  </sheetData>
  <mergeCells count="5">
    <mergeCell ref="A1:H1"/>
    <mergeCell ref="A15:H15"/>
    <mergeCell ref="A22:H22"/>
    <mergeCell ref="A29:H29"/>
    <mergeCell ref="A8:I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9141-2584-447A-A72A-9B31567A6F9D}">
  <dimension ref="A1:K35"/>
  <sheetViews>
    <sheetView workbookViewId="0">
      <selection activeCell="A22" sqref="A22:J22"/>
    </sheetView>
  </sheetViews>
  <sheetFormatPr defaultRowHeight="15" x14ac:dyDescent="0.25"/>
  <cols>
    <col min="1" max="1" width="15.140625" customWidth="1"/>
    <col min="2" max="2" width="18.7109375" customWidth="1"/>
    <col min="3" max="3" width="18.28515625" customWidth="1"/>
    <col min="4" max="4" width="17.85546875" customWidth="1"/>
    <col min="5" max="5" width="18.5703125" customWidth="1"/>
    <col min="6" max="6" width="16.42578125" customWidth="1"/>
    <col min="7" max="7" width="22.85546875" customWidth="1"/>
    <col min="8" max="8" width="25" customWidth="1"/>
    <col min="9" max="9" width="23.7109375" customWidth="1"/>
    <col min="10" max="10" width="20" customWidth="1"/>
    <col min="11" max="11" width="22.28515625" customWidth="1"/>
    <col min="12" max="12" width="18.28515625" customWidth="1"/>
  </cols>
  <sheetData>
    <row r="1" spans="1:11" x14ac:dyDescent="0.25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s="4" t="s">
        <v>9</v>
      </c>
      <c r="B2" s="5" t="s">
        <v>3</v>
      </c>
      <c r="C2" s="5" t="s">
        <v>4</v>
      </c>
      <c r="D2" s="5" t="s">
        <v>5</v>
      </c>
      <c r="E2" s="5" t="s">
        <v>7</v>
      </c>
      <c r="F2" s="5" t="s">
        <v>8</v>
      </c>
      <c r="G2" s="5" t="s">
        <v>10</v>
      </c>
      <c r="H2" s="5" t="s">
        <v>11</v>
      </c>
      <c r="I2" s="5" t="s">
        <v>23</v>
      </c>
      <c r="J2" s="5" t="s">
        <v>24</v>
      </c>
    </row>
    <row r="3" spans="1:11" x14ac:dyDescent="0.25">
      <c r="A3" s="6" t="s">
        <v>0</v>
      </c>
      <c r="B3" s="7">
        <v>14120</v>
      </c>
      <c r="C3" s="7">
        <v>18000</v>
      </c>
      <c r="D3" s="7">
        <v>21920</v>
      </c>
      <c r="E3" s="7">
        <v>25940</v>
      </c>
      <c r="F3" s="7"/>
      <c r="G3" s="7"/>
      <c r="H3" s="7"/>
      <c r="I3" s="6"/>
      <c r="J3" s="6"/>
    </row>
    <row r="4" spans="1:11" x14ac:dyDescent="0.25">
      <c r="A4" s="6" t="s">
        <v>1</v>
      </c>
      <c r="B4" s="7">
        <v>4000</v>
      </c>
      <c r="C4" s="7">
        <v>4000</v>
      </c>
      <c r="D4" s="7">
        <v>4000</v>
      </c>
      <c r="E4" s="7">
        <v>4000</v>
      </c>
      <c r="F4" s="7"/>
      <c r="G4" s="7"/>
      <c r="H4" s="7"/>
      <c r="I4" s="6"/>
      <c r="J4" s="6"/>
    </row>
    <row r="5" spans="1:11" x14ac:dyDescent="0.25">
      <c r="A5" s="6" t="s">
        <v>2</v>
      </c>
      <c r="B5" s="7">
        <f t="shared" ref="B5" si="0">B3+B4</f>
        <v>18120</v>
      </c>
      <c r="C5" s="7">
        <f>C3+C4</f>
        <v>22000</v>
      </c>
      <c r="D5" s="7">
        <f>D3+D4</f>
        <v>25920</v>
      </c>
      <c r="E5" s="7">
        <f>E3+E4</f>
        <v>29940</v>
      </c>
      <c r="F5" s="7"/>
      <c r="G5" s="7"/>
      <c r="H5" s="7"/>
      <c r="I5" s="6"/>
      <c r="J5" s="6"/>
    </row>
    <row r="6" spans="1:11" x14ac:dyDescent="0.25">
      <c r="A6" s="6" t="s">
        <v>6</v>
      </c>
      <c r="B6" s="7">
        <v>18000</v>
      </c>
      <c r="C6" s="7">
        <v>21920</v>
      </c>
      <c r="D6" s="7">
        <v>25940</v>
      </c>
      <c r="E6" s="7">
        <v>29960</v>
      </c>
      <c r="F6" s="7"/>
      <c r="G6" s="7"/>
      <c r="H6" s="7"/>
      <c r="I6" s="6"/>
      <c r="J6" s="6"/>
    </row>
    <row r="7" spans="1:11" x14ac:dyDescent="0.25">
      <c r="A7" s="6" t="s">
        <v>12</v>
      </c>
      <c r="B7" s="7">
        <f t="shared" ref="B7:E7" si="1">((B6-B5)/B4)*100</f>
        <v>-3</v>
      </c>
      <c r="C7" s="7">
        <f t="shared" si="1"/>
        <v>-2</v>
      </c>
      <c r="D7" s="7">
        <f t="shared" si="1"/>
        <v>0.5</v>
      </c>
      <c r="E7" s="7">
        <f t="shared" si="1"/>
        <v>0.5</v>
      </c>
      <c r="F7" s="7"/>
      <c r="G7" s="7"/>
      <c r="H7" s="7"/>
      <c r="I7" s="6"/>
      <c r="J7" s="6"/>
    </row>
    <row r="8" spans="1:11" x14ac:dyDescent="0.25">
      <c r="A8" s="9" t="s">
        <v>26</v>
      </c>
      <c r="B8" s="9"/>
      <c r="C8" s="9"/>
      <c r="D8" s="9"/>
      <c r="E8" s="9"/>
      <c r="F8" s="9"/>
      <c r="G8" s="9"/>
      <c r="H8" s="9"/>
      <c r="I8" s="9"/>
      <c r="J8" s="9"/>
    </row>
    <row r="9" spans="1:11" x14ac:dyDescent="0.25">
      <c r="A9" s="4" t="s">
        <v>9</v>
      </c>
      <c r="B9" s="5" t="s">
        <v>3</v>
      </c>
      <c r="C9" s="5" t="s">
        <v>4</v>
      </c>
      <c r="D9" s="5" t="s">
        <v>5</v>
      </c>
      <c r="E9" s="5" t="s">
        <v>7</v>
      </c>
      <c r="F9" s="5" t="s">
        <v>8</v>
      </c>
      <c r="G9" s="5" t="s">
        <v>10</v>
      </c>
      <c r="H9" s="5" t="s">
        <v>11</v>
      </c>
      <c r="I9" s="5" t="s">
        <v>23</v>
      </c>
      <c r="J9" s="5" t="s">
        <v>24</v>
      </c>
    </row>
    <row r="10" spans="1:11" x14ac:dyDescent="0.25">
      <c r="A10" s="6" t="s">
        <v>0</v>
      </c>
      <c r="B10" s="7">
        <v>11680</v>
      </c>
      <c r="C10" s="7">
        <v>13660</v>
      </c>
      <c r="D10" s="7">
        <v>15620</v>
      </c>
      <c r="E10" s="7">
        <v>17580</v>
      </c>
      <c r="F10" s="7">
        <v>18580</v>
      </c>
      <c r="G10" s="7">
        <v>19980</v>
      </c>
      <c r="H10" s="7">
        <v>21540</v>
      </c>
      <c r="I10" s="7">
        <v>23000</v>
      </c>
      <c r="J10" s="7">
        <v>24500</v>
      </c>
    </row>
    <row r="11" spans="1:11" x14ac:dyDescent="0.25">
      <c r="A11" s="6" t="s">
        <v>1</v>
      </c>
      <c r="B11" s="7">
        <v>1500</v>
      </c>
      <c r="C11" s="7">
        <v>1500</v>
      </c>
      <c r="D11" s="7">
        <v>1500</v>
      </c>
      <c r="E11" s="7">
        <v>1500</v>
      </c>
      <c r="F11" s="7">
        <v>1500</v>
      </c>
      <c r="G11" s="7">
        <v>1500</v>
      </c>
      <c r="H11" s="7">
        <v>1500</v>
      </c>
      <c r="I11" s="7">
        <v>1500</v>
      </c>
      <c r="J11" s="7">
        <v>1500</v>
      </c>
    </row>
    <row r="12" spans="1:11" x14ac:dyDescent="0.25">
      <c r="A12" s="6" t="s">
        <v>2</v>
      </c>
      <c r="B12" s="7">
        <f t="shared" ref="B12:J12" si="2">B10+B11</f>
        <v>13180</v>
      </c>
      <c r="C12" s="7">
        <f t="shared" si="2"/>
        <v>15160</v>
      </c>
      <c r="D12" s="7">
        <f>D10+D11</f>
        <v>17120</v>
      </c>
      <c r="E12" s="7">
        <f t="shared" si="2"/>
        <v>19080</v>
      </c>
      <c r="F12" s="7">
        <f t="shared" si="2"/>
        <v>20080</v>
      </c>
      <c r="G12" s="7">
        <f t="shared" si="2"/>
        <v>21480</v>
      </c>
      <c r="H12" s="7">
        <f t="shared" si="2"/>
        <v>23040</v>
      </c>
      <c r="I12" s="7">
        <f t="shared" si="2"/>
        <v>24500</v>
      </c>
      <c r="J12" s="7">
        <f t="shared" si="2"/>
        <v>26000</v>
      </c>
    </row>
    <row r="13" spans="1:11" x14ac:dyDescent="0.25">
      <c r="A13" s="6" t="s">
        <v>6</v>
      </c>
      <c r="B13" s="7">
        <v>13660</v>
      </c>
      <c r="C13" s="7">
        <v>15620</v>
      </c>
      <c r="D13" s="7">
        <v>17580</v>
      </c>
      <c r="E13" s="7">
        <v>18580</v>
      </c>
      <c r="F13" s="7">
        <v>19980</v>
      </c>
      <c r="G13" s="7">
        <v>21540</v>
      </c>
      <c r="H13" s="7">
        <v>23000</v>
      </c>
      <c r="I13" s="7">
        <v>24500</v>
      </c>
      <c r="J13" s="7">
        <v>26000</v>
      </c>
    </row>
    <row r="14" spans="1:11" x14ac:dyDescent="0.25">
      <c r="A14" s="6" t="s">
        <v>12</v>
      </c>
      <c r="B14" s="7">
        <f t="shared" ref="B14:J14" si="3">((B13-B12)/B11)*100</f>
        <v>32</v>
      </c>
      <c r="C14" s="7">
        <f t="shared" si="3"/>
        <v>30.666666666666664</v>
      </c>
      <c r="D14" s="7">
        <f t="shared" si="3"/>
        <v>30.666666666666664</v>
      </c>
      <c r="E14" s="7">
        <f t="shared" si="3"/>
        <v>-33.333333333333329</v>
      </c>
      <c r="F14" s="7">
        <f t="shared" si="3"/>
        <v>-6.666666666666667</v>
      </c>
      <c r="G14" s="7">
        <f t="shared" si="3"/>
        <v>4</v>
      </c>
      <c r="H14" s="7">
        <f t="shared" si="3"/>
        <v>-2.666666666666667</v>
      </c>
      <c r="I14" s="7">
        <f t="shared" si="3"/>
        <v>0</v>
      </c>
      <c r="J14" s="7">
        <f t="shared" si="3"/>
        <v>0</v>
      </c>
    </row>
    <row r="15" spans="1:11" x14ac:dyDescent="0.25">
      <c r="A15" s="9" t="s">
        <v>29</v>
      </c>
      <c r="B15" s="9"/>
      <c r="C15" s="9"/>
      <c r="D15" s="9"/>
      <c r="E15" s="9"/>
      <c r="F15" s="9"/>
      <c r="G15" s="9"/>
      <c r="H15" s="9"/>
      <c r="I15" s="9"/>
      <c r="J15" s="9"/>
    </row>
    <row r="16" spans="1:11" x14ac:dyDescent="0.25">
      <c r="A16" s="4" t="s">
        <v>9</v>
      </c>
      <c r="B16" s="5" t="s">
        <v>3</v>
      </c>
      <c r="C16" s="5" t="s">
        <v>4</v>
      </c>
      <c r="D16" s="5" t="s">
        <v>5</v>
      </c>
      <c r="E16" s="5" t="s">
        <v>7</v>
      </c>
      <c r="F16" s="5" t="s">
        <v>8</v>
      </c>
      <c r="G16" s="5" t="s">
        <v>10</v>
      </c>
      <c r="H16" s="5" t="s">
        <v>11</v>
      </c>
      <c r="I16" s="5" t="s">
        <v>23</v>
      </c>
      <c r="J16" s="5" t="s">
        <v>24</v>
      </c>
      <c r="K16" s="1"/>
    </row>
    <row r="17" spans="1:11" x14ac:dyDescent="0.25">
      <c r="A17" s="6" t="s">
        <v>0</v>
      </c>
      <c r="B17" s="7">
        <v>20920</v>
      </c>
      <c r="C17" s="7">
        <v>20900</v>
      </c>
      <c r="D17" s="7">
        <v>21280</v>
      </c>
      <c r="E17" s="7">
        <v>21100</v>
      </c>
      <c r="F17" s="7">
        <v>21080</v>
      </c>
      <c r="G17" s="7"/>
      <c r="H17" s="7"/>
      <c r="I17" s="7"/>
      <c r="J17" s="7"/>
      <c r="K17" s="1"/>
    </row>
    <row r="18" spans="1:11" x14ac:dyDescent="0.25">
      <c r="A18" s="6" t="s">
        <v>1</v>
      </c>
      <c r="B18" s="7">
        <v>2000</v>
      </c>
      <c r="C18" s="7">
        <v>2000</v>
      </c>
      <c r="D18" s="7">
        <v>2000</v>
      </c>
      <c r="E18" s="7">
        <v>2000</v>
      </c>
      <c r="F18" s="7">
        <v>2000</v>
      </c>
      <c r="G18" s="7"/>
      <c r="H18" s="7"/>
      <c r="I18" s="7"/>
      <c r="J18" s="7"/>
      <c r="K18" s="1"/>
    </row>
    <row r="19" spans="1:11" x14ac:dyDescent="0.25">
      <c r="A19" s="6" t="s">
        <v>2</v>
      </c>
      <c r="B19" s="7">
        <f>B17+B18</f>
        <v>22920</v>
      </c>
      <c r="C19" s="7">
        <f>C17+C18</f>
        <v>22900</v>
      </c>
      <c r="D19" s="7">
        <f>D17+D18</f>
        <v>23280</v>
      </c>
      <c r="E19" s="7">
        <f>E17+E18</f>
        <v>23100</v>
      </c>
      <c r="F19" s="7">
        <f>F17+F18</f>
        <v>23080</v>
      </c>
      <c r="G19" s="7"/>
      <c r="H19" s="7"/>
      <c r="I19" s="7"/>
      <c r="J19" s="7"/>
      <c r="K19" s="1"/>
    </row>
    <row r="20" spans="1:11" x14ac:dyDescent="0.25">
      <c r="A20" s="6" t="s">
        <v>6</v>
      </c>
      <c r="B20" s="7">
        <v>22800</v>
      </c>
      <c r="C20" s="7">
        <v>22800</v>
      </c>
      <c r="D20" s="7">
        <v>23200</v>
      </c>
      <c r="E20" s="7">
        <v>23080</v>
      </c>
      <c r="F20" s="7">
        <v>23060</v>
      </c>
      <c r="G20" s="7"/>
      <c r="H20" s="7"/>
      <c r="I20" s="7"/>
      <c r="J20" s="7"/>
      <c r="K20" s="1"/>
    </row>
    <row r="21" spans="1:11" x14ac:dyDescent="0.25">
      <c r="A21" s="6" t="s">
        <v>12</v>
      </c>
      <c r="B21" s="7">
        <f t="shared" ref="B21:F21" si="4">((B20-B19)/B18)*100</f>
        <v>-6</v>
      </c>
      <c r="C21" s="7">
        <f t="shared" si="4"/>
        <v>-5</v>
      </c>
      <c r="D21" s="7">
        <f t="shared" si="4"/>
        <v>-4</v>
      </c>
      <c r="E21" s="7">
        <f t="shared" si="4"/>
        <v>-1</v>
      </c>
      <c r="F21" s="7">
        <f t="shared" si="4"/>
        <v>-1</v>
      </c>
      <c r="G21" s="7"/>
      <c r="H21" s="7"/>
      <c r="I21" s="7"/>
      <c r="J21" s="7"/>
      <c r="K21" s="1"/>
    </row>
    <row r="22" spans="1:11" x14ac:dyDescent="0.25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</row>
    <row r="23" spans="1:11" x14ac:dyDescent="0.25">
      <c r="A23" s="4" t="s">
        <v>9</v>
      </c>
      <c r="B23" s="5" t="s">
        <v>3</v>
      </c>
      <c r="C23" s="5" t="s">
        <v>4</v>
      </c>
      <c r="D23" s="5" t="s">
        <v>5</v>
      </c>
      <c r="E23" s="5" t="s">
        <v>7</v>
      </c>
      <c r="F23" s="5" t="s">
        <v>8</v>
      </c>
      <c r="G23" s="5" t="s">
        <v>10</v>
      </c>
      <c r="H23" s="5" t="s">
        <v>11</v>
      </c>
      <c r="I23" s="5" t="s">
        <v>23</v>
      </c>
      <c r="J23" s="5" t="s">
        <v>24</v>
      </c>
    </row>
    <row r="24" spans="1:11" x14ac:dyDescent="0.25">
      <c r="A24" s="6" t="s">
        <v>0</v>
      </c>
      <c r="B24" s="7">
        <v>11540</v>
      </c>
      <c r="C24" s="7">
        <v>13520</v>
      </c>
      <c r="D24" s="7">
        <v>15520</v>
      </c>
      <c r="E24" s="7">
        <v>16860</v>
      </c>
      <c r="F24" s="7">
        <v>18200</v>
      </c>
      <c r="G24" s="7">
        <v>11520</v>
      </c>
      <c r="H24" s="7">
        <v>12970</v>
      </c>
      <c r="I24" s="7">
        <v>14380</v>
      </c>
      <c r="J24" s="7">
        <v>15880</v>
      </c>
      <c r="K24" s="1"/>
    </row>
    <row r="25" spans="1:11" x14ac:dyDescent="0.25">
      <c r="A25" s="6" t="s">
        <v>1</v>
      </c>
      <c r="B25" s="7">
        <v>1500</v>
      </c>
      <c r="C25" s="7">
        <v>1500</v>
      </c>
      <c r="D25" s="7">
        <v>1500</v>
      </c>
      <c r="E25" s="7">
        <v>1500</v>
      </c>
      <c r="F25" s="7">
        <v>1500</v>
      </c>
      <c r="G25" s="7">
        <v>1500</v>
      </c>
      <c r="H25" s="7">
        <v>1500</v>
      </c>
      <c r="I25" s="7">
        <v>1500</v>
      </c>
      <c r="J25" s="7">
        <v>1500</v>
      </c>
      <c r="K25" s="1"/>
    </row>
    <row r="26" spans="1:11" x14ac:dyDescent="0.25">
      <c r="A26" s="6" t="s">
        <v>2</v>
      </c>
      <c r="B26" s="7">
        <f t="shared" ref="B26:J26" si="5">B24+B25</f>
        <v>13040</v>
      </c>
      <c r="C26" s="7">
        <f t="shared" si="5"/>
        <v>15020</v>
      </c>
      <c r="D26" s="7">
        <f t="shared" si="5"/>
        <v>17020</v>
      </c>
      <c r="E26" s="7">
        <f t="shared" si="5"/>
        <v>18360</v>
      </c>
      <c r="F26" s="7">
        <f t="shared" si="5"/>
        <v>19700</v>
      </c>
      <c r="G26" s="7">
        <f t="shared" si="5"/>
        <v>13020</v>
      </c>
      <c r="H26" s="7">
        <f t="shared" si="5"/>
        <v>14470</v>
      </c>
      <c r="I26" s="7">
        <f t="shared" si="5"/>
        <v>15880</v>
      </c>
      <c r="J26" s="7">
        <f t="shared" si="5"/>
        <v>17380</v>
      </c>
      <c r="K26" s="1"/>
    </row>
    <row r="27" spans="1:11" x14ac:dyDescent="0.25">
      <c r="A27" s="6" t="s">
        <v>6</v>
      </c>
      <c r="B27" s="7">
        <v>13520</v>
      </c>
      <c r="C27" s="7">
        <v>15520</v>
      </c>
      <c r="D27" s="7">
        <v>16860</v>
      </c>
      <c r="E27" s="7">
        <v>18200</v>
      </c>
      <c r="F27" s="7">
        <v>19840</v>
      </c>
      <c r="G27" s="7">
        <v>12970</v>
      </c>
      <c r="H27" s="7">
        <v>14380</v>
      </c>
      <c r="I27" s="7">
        <v>15880</v>
      </c>
      <c r="J27" s="7">
        <v>17380</v>
      </c>
      <c r="K27" s="1"/>
    </row>
    <row r="28" spans="1:11" x14ac:dyDescent="0.25">
      <c r="A28" s="6" t="s">
        <v>12</v>
      </c>
      <c r="B28" s="7">
        <f t="shared" ref="B28:J28" si="6">((B27-B26)/B25)*100</f>
        <v>32</v>
      </c>
      <c r="C28" s="7">
        <f t="shared" si="6"/>
        <v>33.333333333333329</v>
      </c>
      <c r="D28" s="7">
        <f t="shared" si="6"/>
        <v>-10.666666666666668</v>
      </c>
      <c r="E28" s="7">
        <f t="shared" si="6"/>
        <v>-10.666666666666668</v>
      </c>
      <c r="F28" s="7">
        <f t="shared" si="6"/>
        <v>9.3333333333333339</v>
      </c>
      <c r="G28" s="7">
        <f t="shared" si="6"/>
        <v>-3.3333333333333335</v>
      </c>
      <c r="H28" s="7">
        <f t="shared" si="6"/>
        <v>-6</v>
      </c>
      <c r="I28" s="7">
        <f t="shared" si="6"/>
        <v>0</v>
      </c>
      <c r="J28" s="7">
        <f t="shared" si="6"/>
        <v>0</v>
      </c>
      <c r="K28" s="1"/>
    </row>
    <row r="29" spans="1:11" x14ac:dyDescent="0.25">
      <c r="A29" s="9" t="s">
        <v>28</v>
      </c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5">
      <c r="A30" s="4" t="s">
        <v>9</v>
      </c>
      <c r="B30" s="5" t="s">
        <v>3</v>
      </c>
      <c r="C30" s="5" t="s">
        <v>4</v>
      </c>
      <c r="D30" s="5" t="s">
        <v>5</v>
      </c>
      <c r="E30" s="5" t="s">
        <v>7</v>
      </c>
      <c r="F30" s="5" t="s">
        <v>8</v>
      </c>
      <c r="G30" s="5" t="s">
        <v>10</v>
      </c>
      <c r="H30" s="5" t="s">
        <v>11</v>
      </c>
      <c r="I30" s="5" t="s">
        <v>23</v>
      </c>
      <c r="J30" s="5" t="s">
        <v>24</v>
      </c>
    </row>
    <row r="31" spans="1:11" x14ac:dyDescent="0.25">
      <c r="A31" s="6" t="s">
        <v>0</v>
      </c>
      <c r="B31" s="7">
        <v>11560</v>
      </c>
      <c r="C31" s="7">
        <v>13640</v>
      </c>
      <c r="D31" s="7">
        <v>15700</v>
      </c>
      <c r="E31" s="7">
        <v>17700</v>
      </c>
      <c r="F31" s="7">
        <v>19780</v>
      </c>
      <c r="G31" s="7">
        <v>21660</v>
      </c>
      <c r="H31" s="7">
        <v>23680</v>
      </c>
      <c r="I31" s="7"/>
      <c r="J31" s="7"/>
    </row>
    <row r="32" spans="1:11" x14ac:dyDescent="0.25">
      <c r="A32" s="6" t="s">
        <v>1</v>
      </c>
      <c r="B32" s="7">
        <v>2000</v>
      </c>
      <c r="C32" s="7">
        <v>2000</v>
      </c>
      <c r="D32" s="7">
        <v>2000</v>
      </c>
      <c r="E32" s="7">
        <v>2000</v>
      </c>
      <c r="F32" s="7">
        <v>2000</v>
      </c>
      <c r="G32" s="7">
        <v>2000</v>
      </c>
      <c r="H32" s="7">
        <v>2000</v>
      </c>
      <c r="I32" s="7"/>
      <c r="J32" s="7"/>
    </row>
    <row r="33" spans="1:10" x14ac:dyDescent="0.25">
      <c r="A33" s="6" t="s">
        <v>2</v>
      </c>
      <c r="B33" s="7">
        <f t="shared" ref="B33:H33" si="7">B31+B32</f>
        <v>13560</v>
      </c>
      <c r="C33" s="7">
        <f t="shared" si="7"/>
        <v>15640</v>
      </c>
      <c r="D33" s="7">
        <f t="shared" si="7"/>
        <v>17700</v>
      </c>
      <c r="E33" s="7">
        <f t="shared" si="7"/>
        <v>19700</v>
      </c>
      <c r="F33" s="7">
        <f t="shared" si="7"/>
        <v>21780</v>
      </c>
      <c r="G33" s="7">
        <f t="shared" si="7"/>
        <v>23660</v>
      </c>
      <c r="H33" s="7">
        <f t="shared" si="7"/>
        <v>25680</v>
      </c>
      <c r="I33" s="7"/>
      <c r="J33" s="7"/>
    </row>
    <row r="34" spans="1:10" x14ac:dyDescent="0.25">
      <c r="A34" s="6" t="s">
        <v>6</v>
      </c>
      <c r="B34" s="7">
        <v>13640</v>
      </c>
      <c r="C34" s="7">
        <v>15700</v>
      </c>
      <c r="D34" s="7">
        <v>17700</v>
      </c>
      <c r="E34" s="7">
        <v>19780</v>
      </c>
      <c r="F34" s="7">
        <v>21660</v>
      </c>
      <c r="G34" s="7">
        <v>23680</v>
      </c>
      <c r="H34" s="7">
        <v>25700</v>
      </c>
      <c r="I34" s="7"/>
      <c r="J34" s="7"/>
    </row>
    <row r="35" spans="1:10" x14ac:dyDescent="0.25">
      <c r="A35" s="6" t="s">
        <v>12</v>
      </c>
      <c r="B35" s="7">
        <f t="shared" ref="B35:H35" si="8">((B34-B33)/B32)*100</f>
        <v>4</v>
      </c>
      <c r="C35" s="7">
        <f t="shared" si="8"/>
        <v>3</v>
      </c>
      <c r="D35" s="7">
        <f t="shared" si="8"/>
        <v>0</v>
      </c>
      <c r="E35" s="7">
        <f t="shared" si="8"/>
        <v>4</v>
      </c>
      <c r="F35" s="7">
        <f t="shared" si="8"/>
        <v>-6</v>
      </c>
      <c r="G35" s="7">
        <f t="shared" si="8"/>
        <v>1</v>
      </c>
      <c r="H35" s="7">
        <f t="shared" si="8"/>
        <v>1</v>
      </c>
      <c r="I35" s="7"/>
      <c r="J35" s="7"/>
    </row>
  </sheetData>
  <mergeCells count="5">
    <mergeCell ref="A1:J1"/>
    <mergeCell ref="A8:J8"/>
    <mergeCell ref="A15:J15"/>
    <mergeCell ref="A22:J22"/>
    <mergeCell ref="A29:J2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4520-9F2B-4C5D-95F5-4F3289E38733}">
  <dimension ref="A1:K35"/>
  <sheetViews>
    <sheetView workbookViewId="0">
      <selection activeCell="E7" sqref="E7"/>
    </sheetView>
  </sheetViews>
  <sheetFormatPr defaultRowHeight="15" x14ac:dyDescent="0.25"/>
  <cols>
    <col min="1" max="1" width="15.140625" customWidth="1"/>
    <col min="2" max="2" width="18.7109375" customWidth="1"/>
    <col min="3" max="3" width="18.28515625" customWidth="1"/>
    <col min="4" max="4" width="17.85546875" customWidth="1"/>
    <col min="5" max="5" width="18.5703125" customWidth="1"/>
    <col min="6" max="6" width="16.42578125" customWidth="1"/>
    <col min="7" max="7" width="22.85546875" customWidth="1"/>
    <col min="8" max="8" width="25" customWidth="1"/>
    <col min="9" max="9" width="23.7109375" customWidth="1"/>
    <col min="10" max="10" width="20" customWidth="1"/>
    <col min="11" max="11" width="22.28515625" customWidth="1"/>
    <col min="12" max="12" width="18.28515625" customWidth="1"/>
  </cols>
  <sheetData>
    <row r="1" spans="1:11" x14ac:dyDescent="0.25">
      <c r="A1" s="9" t="s">
        <v>30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s="4" t="s">
        <v>9</v>
      </c>
      <c r="B2" s="5" t="s">
        <v>3</v>
      </c>
      <c r="C2" s="5" t="s">
        <v>4</v>
      </c>
      <c r="D2" s="5" t="s">
        <v>5</v>
      </c>
      <c r="E2" s="5" t="s">
        <v>7</v>
      </c>
      <c r="F2" s="5" t="s">
        <v>8</v>
      </c>
      <c r="G2" s="5" t="s">
        <v>10</v>
      </c>
      <c r="H2" s="5" t="s">
        <v>11</v>
      </c>
      <c r="I2" s="5" t="s">
        <v>23</v>
      </c>
      <c r="J2" s="5" t="s">
        <v>24</v>
      </c>
    </row>
    <row r="3" spans="1:11" x14ac:dyDescent="0.25">
      <c r="A3" s="6" t="s">
        <v>0</v>
      </c>
      <c r="B3" s="7">
        <v>11340</v>
      </c>
      <c r="C3" s="7">
        <v>15220</v>
      </c>
      <c r="D3" s="7">
        <v>19080</v>
      </c>
      <c r="E3" s="7">
        <v>23100</v>
      </c>
      <c r="F3" s="7"/>
      <c r="G3" s="7"/>
      <c r="H3" s="7"/>
      <c r="I3" s="6"/>
      <c r="J3" s="6"/>
    </row>
    <row r="4" spans="1:11" x14ac:dyDescent="0.25">
      <c r="A4" s="6" t="s">
        <v>1</v>
      </c>
      <c r="B4" s="7">
        <v>4000</v>
      </c>
      <c r="C4" s="7">
        <v>4000</v>
      </c>
      <c r="D4" s="7">
        <v>4000</v>
      </c>
      <c r="E4" s="7">
        <v>4000</v>
      </c>
      <c r="F4" s="7"/>
      <c r="G4" s="7"/>
      <c r="H4" s="7"/>
      <c r="I4" s="6"/>
      <c r="J4" s="6"/>
    </row>
    <row r="5" spans="1:11" x14ac:dyDescent="0.25">
      <c r="A5" s="6" t="s">
        <v>2</v>
      </c>
      <c r="B5" s="7">
        <f t="shared" ref="B5" si="0">B3+B4</f>
        <v>15340</v>
      </c>
      <c r="C5" s="7">
        <f>C3+C4</f>
        <v>19220</v>
      </c>
      <c r="D5" s="7">
        <f>D3+D4</f>
        <v>23080</v>
      </c>
      <c r="E5" s="7">
        <f>E3+E4</f>
        <v>27100</v>
      </c>
      <c r="F5" s="7"/>
      <c r="G5" s="7"/>
      <c r="H5" s="7"/>
      <c r="I5" s="6"/>
      <c r="J5" s="6"/>
    </row>
    <row r="6" spans="1:11" x14ac:dyDescent="0.25">
      <c r="A6" s="6" t="s">
        <v>6</v>
      </c>
      <c r="B6" s="7">
        <v>15220</v>
      </c>
      <c r="C6" s="7">
        <v>19080</v>
      </c>
      <c r="D6" s="7">
        <v>23100</v>
      </c>
      <c r="E6" s="7">
        <v>27120</v>
      </c>
      <c r="F6" s="7"/>
      <c r="G6" s="7"/>
      <c r="H6" s="7"/>
      <c r="I6" s="6"/>
      <c r="J6" s="6"/>
    </row>
    <row r="7" spans="1:11" x14ac:dyDescent="0.25">
      <c r="A7" s="6" t="s">
        <v>12</v>
      </c>
      <c r="B7" s="7">
        <f>((B6-B5)/B4)*100</f>
        <v>-3</v>
      </c>
      <c r="C7" s="7">
        <f t="shared" ref="C7:E7" si="1">((C6-C5)/C4)*100</f>
        <v>-3.5000000000000004</v>
      </c>
      <c r="D7" s="7">
        <f t="shared" si="1"/>
        <v>0.5</v>
      </c>
      <c r="E7" s="7">
        <f t="shared" si="1"/>
        <v>0.5</v>
      </c>
      <c r="F7" s="7"/>
      <c r="G7" s="7"/>
      <c r="H7" s="7"/>
      <c r="I7" s="6"/>
      <c r="J7" s="6"/>
    </row>
    <row r="8" spans="1:11" x14ac:dyDescent="0.25">
      <c r="A8" s="9" t="s">
        <v>31</v>
      </c>
      <c r="B8" s="9"/>
      <c r="C8" s="9"/>
      <c r="D8" s="9"/>
      <c r="E8" s="9"/>
      <c r="F8" s="9"/>
      <c r="G8" s="9"/>
      <c r="H8" s="9"/>
      <c r="I8" s="9"/>
      <c r="J8" s="9"/>
    </row>
    <row r="9" spans="1:11" x14ac:dyDescent="0.25">
      <c r="A9" s="4" t="s">
        <v>9</v>
      </c>
      <c r="B9" s="5" t="s">
        <v>3</v>
      </c>
      <c r="C9" s="5" t="s">
        <v>4</v>
      </c>
      <c r="D9" s="5" t="s">
        <v>5</v>
      </c>
      <c r="E9" s="5" t="s">
        <v>7</v>
      </c>
      <c r="F9" s="5" t="s">
        <v>8</v>
      </c>
      <c r="G9" s="5" t="s">
        <v>10</v>
      </c>
      <c r="H9" s="5" t="s">
        <v>11</v>
      </c>
      <c r="I9" s="5" t="s">
        <v>23</v>
      </c>
      <c r="J9" s="5" t="s">
        <v>24</v>
      </c>
    </row>
    <row r="10" spans="1:11" x14ac:dyDescent="0.25">
      <c r="A10" s="6" t="s">
        <v>0</v>
      </c>
      <c r="B10" s="7">
        <v>11360</v>
      </c>
      <c r="C10" s="7">
        <v>12880</v>
      </c>
      <c r="D10" s="7">
        <v>14400</v>
      </c>
      <c r="E10" s="7"/>
      <c r="F10" s="7"/>
      <c r="G10" s="7"/>
      <c r="H10" s="7"/>
      <c r="I10" s="7"/>
      <c r="J10" s="7"/>
    </row>
    <row r="11" spans="1:11" x14ac:dyDescent="0.25">
      <c r="A11" s="6" t="s">
        <v>1</v>
      </c>
      <c r="B11" s="7">
        <v>1500</v>
      </c>
      <c r="C11" s="7">
        <v>1500</v>
      </c>
      <c r="D11" s="7">
        <v>1500</v>
      </c>
      <c r="E11" s="7"/>
      <c r="F11" s="7"/>
      <c r="G11" s="7"/>
      <c r="H11" s="7"/>
      <c r="I11" s="7"/>
      <c r="J11" s="7"/>
    </row>
    <row r="12" spans="1:11" x14ac:dyDescent="0.25">
      <c r="A12" s="6" t="s">
        <v>2</v>
      </c>
      <c r="B12" s="7">
        <f t="shared" ref="B12:D12" si="2">B10+B11</f>
        <v>12860</v>
      </c>
      <c r="C12" s="7">
        <f t="shared" si="2"/>
        <v>14380</v>
      </c>
      <c r="D12" s="7">
        <f t="shared" si="2"/>
        <v>15900</v>
      </c>
      <c r="E12" s="7"/>
      <c r="F12" s="7"/>
      <c r="G12" s="7"/>
      <c r="H12" s="7"/>
      <c r="I12" s="7"/>
      <c r="J12" s="7"/>
    </row>
    <row r="13" spans="1:11" x14ac:dyDescent="0.25">
      <c r="A13" s="6" t="s">
        <v>6</v>
      </c>
      <c r="B13" s="7">
        <v>12860</v>
      </c>
      <c r="C13" s="7">
        <v>14400</v>
      </c>
      <c r="D13" s="7">
        <v>15920</v>
      </c>
      <c r="E13" s="7"/>
      <c r="F13" s="7"/>
      <c r="G13" s="7"/>
      <c r="H13" s="7"/>
      <c r="I13" s="7"/>
      <c r="J13" s="7"/>
    </row>
    <row r="14" spans="1:11" x14ac:dyDescent="0.25">
      <c r="A14" s="6" t="s">
        <v>12</v>
      </c>
      <c r="B14" s="7">
        <f>((B13-B12)/B11)*100</f>
        <v>0</v>
      </c>
      <c r="C14" s="7">
        <f>((C13-C12)/C11)*100</f>
        <v>1.3333333333333335</v>
      </c>
      <c r="D14" s="7">
        <f>((D13-D12)/D11)*100</f>
        <v>1.3333333333333335</v>
      </c>
      <c r="E14" s="7"/>
      <c r="F14" s="7"/>
      <c r="G14" s="7"/>
      <c r="H14" s="7"/>
      <c r="I14" s="7"/>
      <c r="J14" s="7"/>
    </row>
    <row r="15" spans="1:11" x14ac:dyDescent="0.25">
      <c r="A15" s="9" t="s">
        <v>29</v>
      </c>
      <c r="B15" s="9"/>
      <c r="C15" s="9"/>
      <c r="D15" s="9"/>
      <c r="E15" s="9"/>
      <c r="F15" s="9"/>
      <c r="G15" s="9"/>
      <c r="H15" s="9"/>
      <c r="I15" s="9"/>
      <c r="J15" s="9"/>
    </row>
    <row r="16" spans="1:11" x14ac:dyDescent="0.25">
      <c r="A16" s="4" t="s">
        <v>9</v>
      </c>
      <c r="B16" s="5" t="s">
        <v>3</v>
      </c>
      <c r="C16" s="5" t="s">
        <v>4</v>
      </c>
      <c r="D16" s="5" t="s">
        <v>5</v>
      </c>
      <c r="E16" s="5" t="s">
        <v>7</v>
      </c>
      <c r="F16" s="5" t="s">
        <v>8</v>
      </c>
      <c r="G16" s="5" t="s">
        <v>10</v>
      </c>
      <c r="H16" s="5" t="s">
        <v>11</v>
      </c>
      <c r="I16" s="5" t="s">
        <v>23</v>
      </c>
      <c r="J16" s="5" t="s">
        <v>24</v>
      </c>
      <c r="K16" s="1"/>
    </row>
    <row r="17" spans="1:11" x14ac:dyDescent="0.25">
      <c r="A17" s="6" t="s">
        <v>0</v>
      </c>
      <c r="B17" s="7">
        <v>23580</v>
      </c>
      <c r="C17" s="7">
        <v>21100</v>
      </c>
      <c r="D17" s="7">
        <v>21100</v>
      </c>
      <c r="E17" s="7"/>
      <c r="F17" s="7"/>
      <c r="G17" s="7"/>
      <c r="H17" s="7"/>
      <c r="I17" s="7"/>
      <c r="J17" s="7"/>
      <c r="K17" s="1"/>
    </row>
    <row r="18" spans="1:11" x14ac:dyDescent="0.25">
      <c r="A18" s="6" t="s">
        <v>1</v>
      </c>
      <c r="B18" s="7">
        <v>2000</v>
      </c>
      <c r="C18" s="7">
        <v>2000</v>
      </c>
      <c r="D18" s="7">
        <v>2000</v>
      </c>
      <c r="E18" s="7"/>
      <c r="F18" s="7"/>
      <c r="G18" s="7"/>
      <c r="H18" s="7"/>
      <c r="I18" s="7"/>
      <c r="J18" s="7"/>
      <c r="K18" s="1"/>
    </row>
    <row r="19" spans="1:11" x14ac:dyDescent="0.25">
      <c r="A19" s="6" t="s">
        <v>2</v>
      </c>
      <c r="B19" s="7">
        <f t="shared" ref="B19" si="3">B17+B18</f>
        <v>25580</v>
      </c>
      <c r="C19" s="7">
        <f>C17+C18</f>
        <v>23100</v>
      </c>
      <c r="D19" s="7">
        <f>D17+D18</f>
        <v>23100</v>
      </c>
      <c r="E19" s="7"/>
      <c r="F19" s="7"/>
      <c r="G19" s="7"/>
      <c r="H19" s="7"/>
      <c r="I19" s="7"/>
      <c r="J19" s="7"/>
      <c r="K19" s="1"/>
    </row>
    <row r="20" spans="1:11" x14ac:dyDescent="0.25">
      <c r="A20" s="6" t="s">
        <v>6</v>
      </c>
      <c r="B20" s="7">
        <v>23480</v>
      </c>
      <c r="C20" s="7">
        <v>23080</v>
      </c>
      <c r="D20" s="7">
        <v>23080</v>
      </c>
      <c r="E20" s="7"/>
      <c r="F20" s="7"/>
      <c r="G20" s="7"/>
      <c r="H20" s="7"/>
      <c r="I20" s="7"/>
      <c r="J20" s="7"/>
      <c r="K20" s="1"/>
    </row>
    <row r="21" spans="1:11" x14ac:dyDescent="0.25">
      <c r="A21" s="6" t="s">
        <v>12</v>
      </c>
      <c r="B21" s="7">
        <f>((B20-B19)/B18)*100</f>
        <v>-105</v>
      </c>
      <c r="C21" s="7">
        <f>((C20-C19)/C18)*100</f>
        <v>-1</v>
      </c>
      <c r="D21" s="7">
        <f t="shared" ref="D21" si="4">((D20-D19)/D18)*100</f>
        <v>-1</v>
      </c>
      <c r="E21" s="7"/>
      <c r="F21" s="7"/>
      <c r="G21" s="7"/>
      <c r="H21" s="7"/>
      <c r="I21" s="7"/>
      <c r="J21" s="7"/>
      <c r="K21" s="1"/>
    </row>
    <row r="22" spans="1:11" x14ac:dyDescent="0.25">
      <c r="A22" s="9" t="s">
        <v>32</v>
      </c>
      <c r="B22" s="9"/>
      <c r="C22" s="9"/>
      <c r="D22" s="9"/>
      <c r="E22" s="9"/>
      <c r="F22" s="9"/>
      <c r="G22" s="9"/>
      <c r="H22" s="9"/>
      <c r="I22" s="9"/>
      <c r="J22" s="9"/>
    </row>
    <row r="23" spans="1:11" x14ac:dyDescent="0.25">
      <c r="A23" s="4" t="s">
        <v>9</v>
      </c>
      <c r="B23" s="5" t="s">
        <v>3</v>
      </c>
      <c r="C23" s="5" t="s">
        <v>4</v>
      </c>
      <c r="D23" s="5" t="s">
        <v>5</v>
      </c>
      <c r="E23" s="5" t="s">
        <v>7</v>
      </c>
      <c r="F23" s="5" t="s">
        <v>8</v>
      </c>
      <c r="G23" s="5" t="s">
        <v>10</v>
      </c>
      <c r="H23" s="5" t="s">
        <v>11</v>
      </c>
      <c r="I23" s="5" t="s">
        <v>23</v>
      </c>
      <c r="J23" s="5" t="s">
        <v>24</v>
      </c>
    </row>
    <row r="24" spans="1:11" x14ac:dyDescent="0.25">
      <c r="A24" s="6" t="s">
        <v>0</v>
      </c>
      <c r="B24" s="7">
        <v>11460</v>
      </c>
      <c r="C24" s="7">
        <v>14760</v>
      </c>
      <c r="D24" s="7">
        <v>16380</v>
      </c>
      <c r="E24" s="7">
        <v>17860</v>
      </c>
      <c r="F24" s="7"/>
      <c r="G24" s="7"/>
      <c r="H24" s="7"/>
      <c r="I24" s="7"/>
      <c r="J24" s="7"/>
      <c r="K24" s="1"/>
    </row>
    <row r="25" spans="1:11" x14ac:dyDescent="0.25">
      <c r="A25" s="6" t="s">
        <v>1</v>
      </c>
      <c r="B25" s="7">
        <v>1500</v>
      </c>
      <c r="C25" s="7">
        <v>1500</v>
      </c>
      <c r="D25" s="7">
        <v>1500</v>
      </c>
      <c r="E25" s="7">
        <v>1500</v>
      </c>
      <c r="F25" s="7"/>
      <c r="G25" s="7"/>
      <c r="H25" s="7"/>
      <c r="I25" s="7"/>
      <c r="J25" s="7"/>
      <c r="K25" s="1"/>
    </row>
    <row r="26" spans="1:11" x14ac:dyDescent="0.25">
      <c r="A26" s="6" t="s">
        <v>2</v>
      </c>
      <c r="B26" s="7">
        <f t="shared" ref="B26:E26" si="5">B24+B25</f>
        <v>12960</v>
      </c>
      <c r="C26" s="7">
        <f t="shared" si="5"/>
        <v>16260</v>
      </c>
      <c r="D26" s="7">
        <f t="shared" si="5"/>
        <v>17880</v>
      </c>
      <c r="E26" s="7">
        <f t="shared" si="5"/>
        <v>19360</v>
      </c>
      <c r="F26" s="7"/>
      <c r="G26" s="7"/>
      <c r="H26" s="7"/>
      <c r="I26" s="7"/>
      <c r="J26" s="7"/>
      <c r="K26" s="1"/>
    </row>
    <row r="27" spans="1:11" x14ac:dyDescent="0.25">
      <c r="A27" s="6" t="s">
        <v>6</v>
      </c>
      <c r="B27" s="7">
        <v>13100</v>
      </c>
      <c r="C27" s="7">
        <v>16380</v>
      </c>
      <c r="D27" s="7">
        <v>17860</v>
      </c>
      <c r="E27" s="7">
        <v>19340</v>
      </c>
      <c r="F27" s="7"/>
      <c r="G27" s="7"/>
      <c r="H27" s="7"/>
      <c r="I27" s="7"/>
      <c r="J27" s="7"/>
      <c r="K27" s="1"/>
    </row>
    <row r="28" spans="1:11" x14ac:dyDescent="0.25">
      <c r="A28" s="6" t="s">
        <v>12</v>
      </c>
      <c r="B28" s="7">
        <f>((B27-B26)/B25)*100</f>
        <v>9.3333333333333339</v>
      </c>
      <c r="C28" s="7">
        <f>((C27-C26)/C25)*100</f>
        <v>8</v>
      </c>
      <c r="D28" s="7">
        <f>((D27-D26)/D25)*100</f>
        <v>-1.3333333333333335</v>
      </c>
      <c r="E28" s="7">
        <f>((E27-E26)/E25)*100</f>
        <v>-1.3333333333333335</v>
      </c>
      <c r="F28" s="7"/>
      <c r="G28" s="7"/>
      <c r="H28" s="7"/>
      <c r="I28" s="7"/>
      <c r="J28" s="7"/>
      <c r="K28" s="1"/>
    </row>
    <row r="29" spans="1:11" x14ac:dyDescent="0.25">
      <c r="A29" s="9" t="s">
        <v>33</v>
      </c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5">
      <c r="A30" s="4" t="s">
        <v>9</v>
      </c>
      <c r="B30" s="5" t="s">
        <v>3</v>
      </c>
      <c r="C30" s="5" t="s">
        <v>4</v>
      </c>
      <c r="D30" s="5" t="s">
        <v>5</v>
      </c>
      <c r="E30" s="5" t="s">
        <v>7</v>
      </c>
      <c r="F30" s="5" t="s">
        <v>8</v>
      </c>
      <c r="G30" s="5" t="s">
        <v>10</v>
      </c>
      <c r="H30" s="5" t="s">
        <v>11</v>
      </c>
      <c r="I30" s="5" t="s">
        <v>23</v>
      </c>
      <c r="J30" s="5" t="s">
        <v>24</v>
      </c>
    </row>
    <row r="31" spans="1:11" x14ac:dyDescent="0.25">
      <c r="A31" s="6" t="s">
        <v>0</v>
      </c>
      <c r="B31" s="7">
        <v>11320</v>
      </c>
      <c r="C31" s="7">
        <v>13300</v>
      </c>
      <c r="D31" s="7"/>
      <c r="E31" s="7"/>
      <c r="F31" s="7"/>
      <c r="G31" s="7"/>
      <c r="H31" s="7"/>
      <c r="I31" s="7"/>
      <c r="J31" s="7"/>
    </row>
    <row r="32" spans="1:11" x14ac:dyDescent="0.25">
      <c r="A32" s="6" t="s">
        <v>1</v>
      </c>
      <c r="B32" s="7">
        <v>2000</v>
      </c>
      <c r="C32" s="7">
        <v>2000</v>
      </c>
      <c r="D32" s="7"/>
      <c r="E32" s="7"/>
      <c r="F32" s="7"/>
      <c r="G32" s="7"/>
      <c r="H32" s="7"/>
      <c r="I32" s="7"/>
      <c r="J32" s="7"/>
    </row>
    <row r="33" spans="1:10" x14ac:dyDescent="0.25">
      <c r="A33" s="6" t="s">
        <v>2</v>
      </c>
      <c r="B33" s="7">
        <f t="shared" ref="B33:C33" si="6">B31+B32</f>
        <v>13320</v>
      </c>
      <c r="C33" s="7">
        <f t="shared" si="6"/>
        <v>15300</v>
      </c>
      <c r="D33" s="7"/>
      <c r="E33" s="7"/>
      <c r="F33" s="7"/>
      <c r="G33" s="7"/>
      <c r="H33" s="7"/>
      <c r="I33" s="7"/>
      <c r="J33" s="7"/>
    </row>
    <row r="34" spans="1:10" x14ac:dyDescent="0.25">
      <c r="A34" s="6" t="s">
        <v>6</v>
      </c>
      <c r="B34" s="7">
        <v>13300</v>
      </c>
      <c r="C34" s="7">
        <v>15320</v>
      </c>
      <c r="D34" s="7"/>
      <c r="E34" s="7"/>
      <c r="F34" s="7"/>
      <c r="G34" s="7"/>
      <c r="H34" s="7"/>
      <c r="I34" s="7"/>
      <c r="J34" s="7"/>
    </row>
    <row r="35" spans="1:10" x14ac:dyDescent="0.25">
      <c r="A35" s="6" t="s">
        <v>12</v>
      </c>
      <c r="B35" s="7">
        <f t="shared" ref="B35:C35" si="7">((B34-B33)/B32)*100</f>
        <v>-1</v>
      </c>
      <c r="C35" s="7">
        <f t="shared" si="7"/>
        <v>1</v>
      </c>
      <c r="D35" s="7"/>
      <c r="E35" s="7"/>
      <c r="F35" s="7"/>
      <c r="G35" s="7"/>
      <c r="H35" s="7"/>
      <c r="I35" s="7"/>
      <c r="J35" s="7"/>
    </row>
  </sheetData>
  <mergeCells count="5">
    <mergeCell ref="A1:J1"/>
    <mergeCell ref="A8:J8"/>
    <mergeCell ref="A15:J15"/>
    <mergeCell ref="A22:J22"/>
    <mergeCell ref="A29:J2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B36B-BF18-4896-85CB-8DBF774547F6}">
  <dimension ref="A1:K35"/>
  <sheetViews>
    <sheetView workbookViewId="0">
      <selection activeCell="F27" sqref="F27"/>
    </sheetView>
  </sheetViews>
  <sheetFormatPr defaultRowHeight="15" x14ac:dyDescent="0.25"/>
  <cols>
    <col min="1" max="1" width="15.140625" customWidth="1"/>
    <col min="2" max="2" width="18.7109375" customWidth="1"/>
    <col min="3" max="3" width="18.28515625" customWidth="1"/>
    <col min="4" max="4" width="17.85546875" customWidth="1"/>
    <col min="5" max="5" width="18.5703125" customWidth="1"/>
    <col min="6" max="6" width="16.42578125" customWidth="1"/>
    <col min="7" max="7" width="22.85546875" customWidth="1"/>
    <col min="8" max="8" width="25" customWidth="1"/>
    <col min="9" max="9" width="23.7109375" customWidth="1"/>
    <col min="10" max="10" width="20" customWidth="1"/>
    <col min="11" max="11" width="22.28515625" customWidth="1"/>
    <col min="12" max="12" width="18.28515625" customWidth="1"/>
  </cols>
  <sheetData>
    <row r="1" spans="1:11" x14ac:dyDescent="0.25">
      <c r="A1" s="9" t="s">
        <v>35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s="4" t="s">
        <v>9</v>
      </c>
      <c r="B2" s="5" t="s">
        <v>3</v>
      </c>
      <c r="C2" s="5" t="s">
        <v>4</v>
      </c>
      <c r="D2" s="5" t="s">
        <v>5</v>
      </c>
      <c r="E2" s="5" t="s">
        <v>7</v>
      </c>
      <c r="F2" s="5" t="s">
        <v>8</v>
      </c>
      <c r="G2" s="5" t="s">
        <v>10</v>
      </c>
      <c r="H2" s="5" t="s">
        <v>11</v>
      </c>
      <c r="I2" s="5" t="s">
        <v>23</v>
      </c>
      <c r="J2" s="5" t="s">
        <v>24</v>
      </c>
    </row>
    <row r="3" spans="1:11" x14ac:dyDescent="0.25">
      <c r="A3" s="6" t="s">
        <v>0</v>
      </c>
      <c r="B3" s="7">
        <v>10170</v>
      </c>
      <c r="C3" s="7">
        <v>14400</v>
      </c>
      <c r="D3" s="7">
        <v>18520</v>
      </c>
      <c r="E3" s="7">
        <v>14480</v>
      </c>
      <c r="F3" s="7"/>
      <c r="G3" s="7"/>
      <c r="H3" s="7"/>
      <c r="I3" s="6"/>
      <c r="J3" s="6"/>
    </row>
    <row r="4" spans="1:11" x14ac:dyDescent="0.25">
      <c r="A4" s="6" t="s">
        <v>1</v>
      </c>
      <c r="B4" s="7">
        <v>4000</v>
      </c>
      <c r="C4" s="7">
        <v>4000</v>
      </c>
      <c r="D4" s="7">
        <v>4000</v>
      </c>
      <c r="E4" s="7">
        <v>4000</v>
      </c>
      <c r="F4" s="7"/>
      <c r="G4" s="7"/>
      <c r="H4" s="7"/>
      <c r="I4" s="6"/>
      <c r="J4" s="6"/>
    </row>
    <row r="5" spans="1:11" x14ac:dyDescent="0.25">
      <c r="A5" s="6" t="s">
        <v>2</v>
      </c>
      <c r="B5" s="7">
        <f t="shared" ref="B5" si="0">B3+B4</f>
        <v>14170</v>
      </c>
      <c r="C5" s="7">
        <f>C3+C4</f>
        <v>18400</v>
      </c>
      <c r="D5" s="7">
        <f>D3+D4</f>
        <v>22520</v>
      </c>
      <c r="E5" s="7">
        <f>E3+E4</f>
        <v>18480</v>
      </c>
      <c r="F5" s="7"/>
      <c r="G5" s="7"/>
      <c r="H5" s="7"/>
      <c r="I5" s="6"/>
      <c r="J5" s="6"/>
    </row>
    <row r="6" spans="1:11" x14ac:dyDescent="0.25">
      <c r="A6" s="6" t="s">
        <v>6</v>
      </c>
      <c r="B6" s="7">
        <v>14400</v>
      </c>
      <c r="C6" s="7">
        <v>18520</v>
      </c>
      <c r="D6" s="7">
        <v>22560</v>
      </c>
      <c r="E6" s="7">
        <v>18540</v>
      </c>
      <c r="F6" s="7"/>
      <c r="G6" s="7"/>
      <c r="H6" s="7"/>
      <c r="I6" s="6"/>
      <c r="J6" s="6"/>
    </row>
    <row r="7" spans="1:11" x14ac:dyDescent="0.25">
      <c r="A7" s="6" t="s">
        <v>12</v>
      </c>
      <c r="B7" s="7">
        <f>((B6-B5)/B4)*100</f>
        <v>5.75</v>
      </c>
      <c r="C7" s="7">
        <f t="shared" ref="C7:D7" si="1">((C6-C5)/C4)*100</f>
        <v>3</v>
      </c>
      <c r="D7" s="7">
        <f t="shared" si="1"/>
        <v>1</v>
      </c>
      <c r="E7" s="7">
        <f>((E6-E5)/E4)*100</f>
        <v>1.5</v>
      </c>
      <c r="F7" s="7"/>
      <c r="G7" s="7"/>
      <c r="H7" s="7"/>
      <c r="I7" s="6"/>
      <c r="J7" s="6"/>
    </row>
    <row r="8" spans="1:11" x14ac:dyDescent="0.25">
      <c r="A8" s="9" t="s">
        <v>34</v>
      </c>
      <c r="B8" s="9"/>
      <c r="C8" s="9"/>
      <c r="D8" s="9"/>
      <c r="E8" s="9"/>
      <c r="F8" s="9"/>
      <c r="G8" s="9"/>
      <c r="H8" s="9"/>
      <c r="I8" s="9"/>
      <c r="J8" s="9"/>
    </row>
    <row r="9" spans="1:11" x14ac:dyDescent="0.25">
      <c r="A9" s="4" t="s">
        <v>9</v>
      </c>
      <c r="B9" s="5" t="s">
        <v>3</v>
      </c>
      <c r="C9" s="5" t="s">
        <v>4</v>
      </c>
      <c r="D9" s="5" t="s">
        <v>5</v>
      </c>
      <c r="E9" s="5" t="s">
        <v>7</v>
      </c>
      <c r="F9" s="5" t="s">
        <v>8</v>
      </c>
      <c r="G9" s="5" t="s">
        <v>10</v>
      </c>
      <c r="H9" s="5" t="s">
        <v>11</v>
      </c>
      <c r="I9" s="5" t="s">
        <v>23</v>
      </c>
      <c r="J9" s="5" t="s">
        <v>24</v>
      </c>
    </row>
    <row r="10" spans="1:11" x14ac:dyDescent="0.25">
      <c r="A10" s="6" t="s">
        <v>0</v>
      </c>
      <c r="B10" s="7">
        <v>11660</v>
      </c>
      <c r="C10" s="7">
        <v>13460</v>
      </c>
      <c r="D10" s="7">
        <v>15220</v>
      </c>
      <c r="E10" s="7">
        <v>16720</v>
      </c>
      <c r="F10" s="7"/>
      <c r="G10" s="7"/>
      <c r="H10" s="7"/>
      <c r="I10" s="7"/>
      <c r="J10" s="7"/>
    </row>
    <row r="11" spans="1:11" x14ac:dyDescent="0.25">
      <c r="A11" s="6" t="s">
        <v>1</v>
      </c>
      <c r="B11" s="7">
        <v>1500</v>
      </c>
      <c r="C11" s="7">
        <v>1500</v>
      </c>
      <c r="D11" s="7">
        <v>1500</v>
      </c>
      <c r="E11" s="7">
        <v>1500</v>
      </c>
      <c r="F11" s="7"/>
      <c r="G11" s="7"/>
      <c r="H11" s="7"/>
      <c r="I11" s="7"/>
      <c r="J11" s="7"/>
    </row>
    <row r="12" spans="1:11" x14ac:dyDescent="0.25">
      <c r="A12" s="6" t="s">
        <v>2</v>
      </c>
      <c r="B12" s="7">
        <f t="shared" ref="B12:E12" si="2">B10+B11</f>
        <v>13160</v>
      </c>
      <c r="C12" s="7">
        <f t="shared" si="2"/>
        <v>14960</v>
      </c>
      <c r="D12" s="7">
        <f t="shared" si="2"/>
        <v>16720</v>
      </c>
      <c r="E12" s="7">
        <f t="shared" si="2"/>
        <v>18220</v>
      </c>
      <c r="F12" s="7"/>
      <c r="G12" s="7"/>
      <c r="H12" s="7"/>
      <c r="I12" s="7"/>
      <c r="J12" s="7"/>
    </row>
    <row r="13" spans="1:11" x14ac:dyDescent="0.25">
      <c r="A13" s="6" t="s">
        <v>6</v>
      </c>
      <c r="B13" s="7">
        <v>13460</v>
      </c>
      <c r="C13" s="7">
        <v>15220</v>
      </c>
      <c r="D13" s="7">
        <v>16740</v>
      </c>
      <c r="E13" s="7">
        <v>18220</v>
      </c>
      <c r="F13" s="7"/>
      <c r="G13" s="7"/>
      <c r="H13" s="7"/>
      <c r="I13" s="7"/>
      <c r="J13" s="7"/>
    </row>
    <row r="14" spans="1:11" x14ac:dyDescent="0.25">
      <c r="A14" s="6" t="s">
        <v>12</v>
      </c>
      <c r="B14" s="7">
        <f>((B13-B12)/B11)*100</f>
        <v>20</v>
      </c>
      <c r="C14" s="7">
        <f>((C13-C12)/C11)*100</f>
        <v>17.333333333333336</v>
      </c>
      <c r="D14" s="7">
        <f>((D13-D12)/D11)*100</f>
        <v>1.3333333333333335</v>
      </c>
      <c r="E14" s="7">
        <f>((E13-E12)/E11)*100</f>
        <v>0</v>
      </c>
      <c r="F14" s="7"/>
      <c r="G14" s="7"/>
      <c r="H14" s="7"/>
      <c r="I14" s="7"/>
      <c r="J14" s="7"/>
    </row>
    <row r="15" spans="1:11" x14ac:dyDescent="0.25">
      <c r="A15" s="9" t="s">
        <v>36</v>
      </c>
      <c r="B15" s="9"/>
      <c r="C15" s="9"/>
      <c r="D15" s="9"/>
      <c r="E15" s="9"/>
      <c r="F15" s="9"/>
      <c r="G15" s="9"/>
      <c r="H15" s="9"/>
      <c r="I15" s="9"/>
      <c r="J15" s="9"/>
    </row>
    <row r="16" spans="1:11" x14ac:dyDescent="0.25">
      <c r="A16" s="4" t="s">
        <v>9</v>
      </c>
      <c r="B16" s="5" t="s">
        <v>3</v>
      </c>
      <c r="C16" s="5" t="s">
        <v>4</v>
      </c>
      <c r="D16" s="5" t="s">
        <v>5</v>
      </c>
      <c r="E16" s="5" t="s">
        <v>7</v>
      </c>
      <c r="F16" s="5" t="s">
        <v>8</v>
      </c>
      <c r="G16" s="5" t="s">
        <v>10</v>
      </c>
      <c r="H16" s="5" t="s">
        <v>11</v>
      </c>
      <c r="I16" s="5" t="s">
        <v>23</v>
      </c>
      <c r="J16" s="5" t="s">
        <v>24</v>
      </c>
      <c r="K16" s="1"/>
    </row>
    <row r="17" spans="1:11" x14ac:dyDescent="0.25">
      <c r="A17" s="6" t="s">
        <v>0</v>
      </c>
      <c r="B17" s="7">
        <v>10440</v>
      </c>
      <c r="C17" s="7">
        <v>14740</v>
      </c>
      <c r="D17" s="7">
        <v>13040</v>
      </c>
      <c r="E17" s="7">
        <v>17080</v>
      </c>
      <c r="F17" s="7"/>
      <c r="G17" s="7"/>
      <c r="H17" s="7"/>
      <c r="I17" s="7"/>
      <c r="J17" s="7"/>
      <c r="K17" s="1"/>
    </row>
    <row r="18" spans="1:11" x14ac:dyDescent="0.25">
      <c r="A18" s="6" t="s">
        <v>1</v>
      </c>
      <c r="B18" s="7">
        <v>4000</v>
      </c>
      <c r="C18" s="7">
        <v>4000</v>
      </c>
      <c r="D18" s="7">
        <v>4000</v>
      </c>
      <c r="E18" s="7">
        <v>4000</v>
      </c>
      <c r="F18" s="7"/>
      <c r="G18" s="7"/>
      <c r="H18" s="7"/>
      <c r="I18" s="7"/>
      <c r="J18" s="7"/>
      <c r="K18" s="1"/>
    </row>
    <row r="19" spans="1:11" x14ac:dyDescent="0.25">
      <c r="A19" s="6" t="s">
        <v>2</v>
      </c>
      <c r="B19" s="7">
        <f t="shared" ref="B19" si="3">B17+B18</f>
        <v>14440</v>
      </c>
      <c r="C19" s="7">
        <f>C17+C18</f>
        <v>18740</v>
      </c>
      <c r="D19" s="7">
        <f>D17+D18</f>
        <v>17040</v>
      </c>
      <c r="E19" s="7">
        <f>E17+E18</f>
        <v>21080</v>
      </c>
      <c r="F19" s="7"/>
      <c r="G19" s="7"/>
      <c r="H19" s="7"/>
      <c r="I19" s="7"/>
      <c r="J19" s="7"/>
      <c r="K19" s="1"/>
    </row>
    <row r="20" spans="1:11" x14ac:dyDescent="0.25">
      <c r="A20" s="6" t="s">
        <v>6</v>
      </c>
      <c r="B20" s="7">
        <v>14740</v>
      </c>
      <c r="C20" s="7">
        <v>18940</v>
      </c>
      <c r="D20" s="7">
        <v>17080</v>
      </c>
      <c r="E20" s="7">
        <v>21120</v>
      </c>
      <c r="F20" s="7"/>
      <c r="G20" s="7"/>
      <c r="H20" s="7"/>
      <c r="I20" s="7"/>
      <c r="J20" s="7"/>
      <c r="K20" s="1"/>
    </row>
    <row r="21" spans="1:11" x14ac:dyDescent="0.25">
      <c r="A21" s="6" t="s">
        <v>12</v>
      </c>
      <c r="B21" s="7">
        <f>((B20-B19)/B18)*100</f>
        <v>7.5</v>
      </c>
      <c r="C21" s="7">
        <f>((C20-C19)/C18)*100</f>
        <v>5</v>
      </c>
      <c r="D21" s="7">
        <f>((D20-D19)/D18)*100</f>
        <v>1</v>
      </c>
      <c r="E21" s="7">
        <f>((E20-E19)/E18)*100</f>
        <v>1</v>
      </c>
      <c r="F21" s="7"/>
      <c r="G21" s="7"/>
      <c r="H21" s="7"/>
      <c r="I21" s="7"/>
      <c r="J21" s="7"/>
      <c r="K21" s="1"/>
    </row>
    <row r="22" spans="1:11" x14ac:dyDescent="0.25">
      <c r="A22" s="9" t="s">
        <v>37</v>
      </c>
      <c r="B22" s="9"/>
      <c r="C22" s="9"/>
      <c r="D22" s="9"/>
      <c r="E22" s="9"/>
      <c r="F22" s="9"/>
      <c r="G22" s="9"/>
      <c r="H22" s="9"/>
      <c r="I22" s="9"/>
      <c r="J22" s="9"/>
    </row>
    <row r="23" spans="1:11" x14ac:dyDescent="0.25">
      <c r="A23" s="4" t="s">
        <v>9</v>
      </c>
      <c r="B23" s="5" t="s">
        <v>3</v>
      </c>
      <c r="C23" s="5" t="s">
        <v>4</v>
      </c>
      <c r="D23" s="5" t="s">
        <v>5</v>
      </c>
      <c r="E23" s="5" t="s">
        <v>7</v>
      </c>
      <c r="F23" s="5" t="s">
        <v>8</v>
      </c>
      <c r="G23" s="5" t="s">
        <v>10</v>
      </c>
      <c r="H23" s="5" t="s">
        <v>11</v>
      </c>
      <c r="I23" s="5" t="s">
        <v>23</v>
      </c>
      <c r="J23" s="5" t="s">
        <v>24</v>
      </c>
    </row>
    <row r="24" spans="1:11" x14ac:dyDescent="0.25">
      <c r="A24" s="6" t="s">
        <v>0</v>
      </c>
      <c r="B24" s="7">
        <v>10280</v>
      </c>
      <c r="C24" s="7">
        <v>10280</v>
      </c>
      <c r="D24" s="7">
        <v>10280</v>
      </c>
      <c r="E24" s="7">
        <v>10280</v>
      </c>
      <c r="F24" s="7"/>
      <c r="G24" s="7"/>
      <c r="H24" s="7"/>
      <c r="I24" s="7"/>
      <c r="J24" s="7"/>
      <c r="K24" s="1"/>
    </row>
    <row r="25" spans="1:11" x14ac:dyDescent="0.25">
      <c r="A25" s="6" t="s">
        <v>1</v>
      </c>
      <c r="B25" s="7">
        <v>2000</v>
      </c>
      <c r="C25" s="7">
        <v>2000</v>
      </c>
      <c r="D25" s="7">
        <v>2000</v>
      </c>
      <c r="E25" s="7">
        <v>2000</v>
      </c>
      <c r="F25" s="7"/>
      <c r="G25" s="7"/>
      <c r="H25" s="7"/>
      <c r="I25" s="7"/>
      <c r="J25" s="7"/>
      <c r="K25" s="1"/>
    </row>
    <row r="26" spans="1:11" x14ac:dyDescent="0.25">
      <c r="A26" s="6" t="s">
        <v>2</v>
      </c>
      <c r="B26" s="7">
        <f>B24+B25</f>
        <v>12280</v>
      </c>
      <c r="C26" s="7">
        <f>C24+C25</f>
        <v>12280</v>
      </c>
      <c r="D26" s="7">
        <f>D24+D25</f>
        <v>12280</v>
      </c>
      <c r="E26" s="7">
        <f>E24+E25</f>
        <v>12280</v>
      </c>
      <c r="F26" s="7"/>
      <c r="G26" s="7"/>
      <c r="H26" s="7"/>
      <c r="I26" s="7"/>
      <c r="J26" s="7"/>
      <c r="K26" s="1"/>
    </row>
    <row r="27" spans="1:11" x14ac:dyDescent="0.25">
      <c r="A27" s="6" t="s">
        <v>6</v>
      </c>
      <c r="B27" s="7">
        <v>12340</v>
      </c>
      <c r="C27" s="7">
        <v>12320</v>
      </c>
      <c r="D27" s="7">
        <v>12300</v>
      </c>
      <c r="E27" s="7">
        <v>12300</v>
      </c>
      <c r="F27" s="7"/>
      <c r="G27" s="7"/>
      <c r="H27" s="7"/>
      <c r="I27" s="7"/>
      <c r="J27" s="7"/>
      <c r="K27" s="1"/>
    </row>
    <row r="28" spans="1:11" x14ac:dyDescent="0.25">
      <c r="A28" s="6" t="s">
        <v>12</v>
      </c>
      <c r="B28" s="7">
        <f t="shared" ref="B28:E28" si="4">((B27-B26)/B25)*100</f>
        <v>3</v>
      </c>
      <c r="C28" s="7">
        <f t="shared" si="4"/>
        <v>2</v>
      </c>
      <c r="D28" s="7">
        <f t="shared" si="4"/>
        <v>1</v>
      </c>
      <c r="E28" s="7">
        <f t="shared" si="4"/>
        <v>1</v>
      </c>
      <c r="F28" s="7"/>
      <c r="G28" s="7"/>
      <c r="H28" s="7"/>
      <c r="I28" s="7"/>
      <c r="J28" s="7"/>
      <c r="K28" s="1"/>
    </row>
    <row r="29" spans="1:11" x14ac:dyDescent="0.25">
      <c r="A29" s="9" t="s">
        <v>38</v>
      </c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5">
      <c r="A30" s="4" t="s">
        <v>9</v>
      </c>
      <c r="B30" s="5" t="s">
        <v>3</v>
      </c>
      <c r="C30" s="5" t="s">
        <v>4</v>
      </c>
      <c r="D30" s="5" t="s">
        <v>5</v>
      </c>
      <c r="E30" s="5" t="s">
        <v>7</v>
      </c>
      <c r="F30" s="5" t="s">
        <v>8</v>
      </c>
      <c r="G30" s="5" t="s">
        <v>10</v>
      </c>
      <c r="H30" s="5" t="s">
        <v>11</v>
      </c>
      <c r="I30" s="5" t="s">
        <v>23</v>
      </c>
      <c r="J30" s="5" t="s">
        <v>24</v>
      </c>
    </row>
    <row r="31" spans="1:11" x14ac:dyDescent="0.25">
      <c r="A31" s="6" t="s">
        <v>0</v>
      </c>
      <c r="B31" s="7">
        <v>10280</v>
      </c>
      <c r="C31" s="7">
        <v>12260</v>
      </c>
      <c r="D31" s="7"/>
      <c r="E31" s="7"/>
      <c r="F31" s="7"/>
      <c r="G31" s="7"/>
      <c r="H31" s="7"/>
      <c r="I31" s="7"/>
      <c r="J31" s="7"/>
    </row>
    <row r="32" spans="1:11" x14ac:dyDescent="0.25">
      <c r="A32" s="6" t="s">
        <v>1</v>
      </c>
      <c r="B32" s="7">
        <v>2000</v>
      </c>
      <c r="C32" s="7">
        <v>2000</v>
      </c>
      <c r="D32" s="7"/>
      <c r="E32" s="7"/>
      <c r="F32" s="7"/>
      <c r="G32" s="7"/>
      <c r="H32" s="7"/>
      <c r="I32" s="7"/>
      <c r="J32" s="7"/>
    </row>
    <row r="33" spans="1:10" x14ac:dyDescent="0.25">
      <c r="A33" s="6" t="s">
        <v>2</v>
      </c>
      <c r="B33" s="7">
        <f t="shared" ref="B33:C33" si="5">B31+B32</f>
        <v>12280</v>
      </c>
      <c r="C33" s="7">
        <f t="shared" si="5"/>
        <v>14260</v>
      </c>
      <c r="D33" s="7"/>
      <c r="E33" s="7"/>
      <c r="F33" s="7"/>
      <c r="G33" s="7"/>
      <c r="H33" s="7"/>
      <c r="I33" s="7"/>
      <c r="J33" s="7"/>
    </row>
    <row r="34" spans="1:10" x14ac:dyDescent="0.25">
      <c r="A34" s="6" t="s">
        <v>6</v>
      </c>
      <c r="B34" s="7">
        <v>12260</v>
      </c>
      <c r="C34" s="7">
        <v>14240</v>
      </c>
      <c r="D34" s="7"/>
      <c r="E34" s="7"/>
      <c r="F34" s="7"/>
      <c r="G34" s="7"/>
      <c r="H34" s="7"/>
      <c r="I34" s="7"/>
      <c r="J34" s="7"/>
    </row>
    <row r="35" spans="1:10" x14ac:dyDescent="0.25">
      <c r="A35" s="6" t="s">
        <v>12</v>
      </c>
      <c r="B35" s="7">
        <f t="shared" ref="B35:C35" si="6">((B34-B33)/B32)*100</f>
        <v>-1</v>
      </c>
      <c r="C35" s="7">
        <f t="shared" si="6"/>
        <v>-1</v>
      </c>
      <c r="D35" s="7"/>
      <c r="E35" s="7"/>
      <c r="F35" s="7"/>
      <c r="G35" s="7"/>
      <c r="H35" s="7"/>
      <c r="I35" s="7"/>
      <c r="J35" s="7"/>
    </row>
  </sheetData>
  <mergeCells count="5">
    <mergeCell ref="A1:J1"/>
    <mergeCell ref="A8:J8"/>
    <mergeCell ref="A15:J15"/>
    <mergeCell ref="A22:J22"/>
    <mergeCell ref="A29:J2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C2D9-3FDF-46BB-9937-E8F516524EA3}">
  <dimension ref="A1:K35"/>
  <sheetViews>
    <sheetView tabSelected="1" workbookViewId="0">
      <selection activeCell="E27" sqref="E27"/>
    </sheetView>
  </sheetViews>
  <sheetFormatPr defaultRowHeight="15" x14ac:dyDescent="0.25"/>
  <cols>
    <col min="1" max="1" width="15.140625" customWidth="1"/>
    <col min="2" max="2" width="18.7109375" customWidth="1"/>
    <col min="3" max="3" width="18.28515625" customWidth="1"/>
    <col min="4" max="4" width="17.85546875" customWidth="1"/>
    <col min="5" max="5" width="18.5703125" customWidth="1"/>
    <col min="6" max="6" width="16.42578125" customWidth="1"/>
    <col min="7" max="7" width="22.85546875" customWidth="1"/>
    <col min="8" max="8" width="25" customWidth="1"/>
    <col min="9" max="9" width="23.7109375" customWidth="1"/>
    <col min="10" max="10" width="20" customWidth="1"/>
    <col min="11" max="11" width="22.28515625" customWidth="1"/>
    <col min="12" max="12" width="18.28515625" customWidth="1"/>
  </cols>
  <sheetData>
    <row r="1" spans="1:11" x14ac:dyDescent="0.25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s="4" t="s">
        <v>9</v>
      </c>
      <c r="B2" s="5" t="s">
        <v>3</v>
      </c>
      <c r="C2" s="5" t="s">
        <v>4</v>
      </c>
      <c r="D2" s="5" t="s">
        <v>5</v>
      </c>
      <c r="E2" s="5" t="s">
        <v>7</v>
      </c>
      <c r="F2" s="5" t="s">
        <v>8</v>
      </c>
      <c r="G2" s="5" t="s">
        <v>10</v>
      </c>
      <c r="H2" s="5" t="s">
        <v>11</v>
      </c>
      <c r="I2" s="5" t="s">
        <v>23</v>
      </c>
      <c r="J2" s="5" t="s">
        <v>24</v>
      </c>
    </row>
    <row r="3" spans="1:11" x14ac:dyDescent="0.25">
      <c r="A3" s="6" t="s">
        <v>0</v>
      </c>
      <c r="B3" s="7">
        <v>17180</v>
      </c>
      <c r="C3" s="7">
        <v>21220</v>
      </c>
      <c r="D3" s="7">
        <v>17180</v>
      </c>
      <c r="E3" s="7">
        <v>21020</v>
      </c>
      <c r="F3" s="7">
        <v>24920</v>
      </c>
      <c r="G3" s="7">
        <v>13320</v>
      </c>
      <c r="H3" s="7">
        <v>17320</v>
      </c>
      <c r="I3" s="6"/>
      <c r="J3" s="6"/>
    </row>
    <row r="4" spans="1:11" x14ac:dyDescent="0.25">
      <c r="A4" s="6" t="s">
        <v>1</v>
      </c>
      <c r="B4" s="7">
        <v>4000</v>
      </c>
      <c r="C4" s="7">
        <v>4000</v>
      </c>
      <c r="D4" s="7">
        <v>4000</v>
      </c>
      <c r="E4" s="7">
        <v>4000</v>
      </c>
      <c r="F4" s="7">
        <v>4000</v>
      </c>
      <c r="G4" s="7">
        <v>4000</v>
      </c>
      <c r="H4" s="7">
        <v>4000</v>
      </c>
      <c r="I4" s="6"/>
      <c r="J4" s="6"/>
    </row>
    <row r="5" spans="1:11" x14ac:dyDescent="0.25">
      <c r="A5" s="6" t="s">
        <v>2</v>
      </c>
      <c r="B5" s="7">
        <f t="shared" ref="B5" si="0">B3+B4</f>
        <v>21180</v>
      </c>
      <c r="C5" s="7">
        <f>C3+C4</f>
        <v>25220</v>
      </c>
      <c r="D5" s="7">
        <f>D3+D4</f>
        <v>21180</v>
      </c>
      <c r="E5" s="7">
        <f>E3+E4</f>
        <v>25020</v>
      </c>
      <c r="F5" s="7">
        <f>F3+F4</f>
        <v>28920</v>
      </c>
      <c r="G5" s="7">
        <f>G3+G4</f>
        <v>17320</v>
      </c>
      <c r="H5" s="7">
        <f>H3+H4</f>
        <v>21320</v>
      </c>
      <c r="I5" s="6"/>
      <c r="J5" s="6"/>
    </row>
    <row r="6" spans="1:11" x14ac:dyDescent="0.25">
      <c r="A6" s="6" t="s">
        <v>6</v>
      </c>
      <c r="B6" s="7">
        <v>21220</v>
      </c>
      <c r="C6" s="7">
        <v>25040</v>
      </c>
      <c r="D6" s="7">
        <v>21020</v>
      </c>
      <c r="E6" s="7">
        <v>24920</v>
      </c>
      <c r="F6" s="7">
        <v>28800</v>
      </c>
      <c r="G6" s="7">
        <v>17320</v>
      </c>
      <c r="H6" s="7">
        <v>21320</v>
      </c>
      <c r="I6" s="6"/>
      <c r="J6" s="6"/>
    </row>
    <row r="7" spans="1:11" x14ac:dyDescent="0.25">
      <c r="A7" s="6" t="s">
        <v>12</v>
      </c>
      <c r="B7" s="7">
        <f>((B6-B5)/B4)*100</f>
        <v>1</v>
      </c>
      <c r="C7" s="7">
        <f t="shared" ref="C7:D7" si="1">((C6-C5)/C4)*100</f>
        <v>-4.5</v>
      </c>
      <c r="D7" s="7">
        <f>((D6-D5)/D4)*100</f>
        <v>-4</v>
      </c>
      <c r="E7" s="7">
        <f>((E6-E5)/E4)*100</f>
        <v>-2.5</v>
      </c>
      <c r="F7" s="7">
        <f>((F6-F5)/F4)*100</f>
        <v>-3</v>
      </c>
      <c r="G7" s="7">
        <f>((G6-G5)/G4)*100</f>
        <v>0</v>
      </c>
      <c r="H7" s="7">
        <f>((H6-H5)/H4)*100</f>
        <v>0</v>
      </c>
      <c r="I7" s="6"/>
      <c r="J7" s="6"/>
    </row>
    <row r="8" spans="1:11" x14ac:dyDescent="0.25">
      <c r="A8" s="9" t="s">
        <v>41</v>
      </c>
      <c r="B8" s="9"/>
      <c r="C8" s="9"/>
      <c r="D8" s="9"/>
      <c r="E8" s="9"/>
      <c r="F8" s="9"/>
      <c r="G8" s="9"/>
      <c r="H8" s="9"/>
      <c r="I8" s="9"/>
      <c r="J8" s="9"/>
    </row>
    <row r="9" spans="1:11" x14ac:dyDescent="0.25">
      <c r="A9" s="4" t="s">
        <v>9</v>
      </c>
      <c r="B9" s="5" t="s">
        <v>3</v>
      </c>
      <c r="C9" s="5" t="s">
        <v>4</v>
      </c>
      <c r="D9" s="5" t="s">
        <v>5</v>
      </c>
      <c r="E9" s="5" t="s">
        <v>7</v>
      </c>
      <c r="F9" s="5" t="s">
        <v>8</v>
      </c>
      <c r="G9" s="5" t="s">
        <v>10</v>
      </c>
      <c r="H9" s="5" t="s">
        <v>11</v>
      </c>
      <c r="I9" s="5" t="s">
        <v>23</v>
      </c>
      <c r="J9" s="5" t="s">
        <v>24</v>
      </c>
    </row>
    <row r="10" spans="1:11" x14ac:dyDescent="0.25">
      <c r="A10" s="6" t="s">
        <v>0</v>
      </c>
      <c r="B10" s="7"/>
      <c r="C10" s="7"/>
      <c r="D10" s="7"/>
      <c r="E10" s="7"/>
      <c r="F10" s="7"/>
      <c r="G10" s="7"/>
      <c r="H10" s="7"/>
      <c r="I10" s="7"/>
      <c r="J10" s="7"/>
    </row>
    <row r="11" spans="1:11" x14ac:dyDescent="0.25">
      <c r="A11" s="6" t="s">
        <v>1</v>
      </c>
      <c r="B11" s="7"/>
      <c r="C11" s="7"/>
      <c r="D11" s="7"/>
      <c r="E11" s="7"/>
      <c r="F11" s="7"/>
      <c r="G11" s="7"/>
      <c r="H11" s="7"/>
      <c r="I11" s="7"/>
      <c r="J11" s="7"/>
    </row>
    <row r="12" spans="1:11" x14ac:dyDescent="0.25">
      <c r="A12" s="6" t="s">
        <v>2</v>
      </c>
      <c r="B12" s="7"/>
      <c r="C12" s="7"/>
      <c r="D12" s="7"/>
      <c r="E12" s="7"/>
      <c r="F12" s="7"/>
      <c r="G12" s="7"/>
      <c r="H12" s="7"/>
      <c r="I12" s="7"/>
      <c r="J12" s="7"/>
    </row>
    <row r="13" spans="1:11" x14ac:dyDescent="0.25">
      <c r="A13" s="6" t="s">
        <v>6</v>
      </c>
      <c r="B13" s="7"/>
      <c r="C13" s="7"/>
      <c r="D13" s="7"/>
      <c r="E13" s="7"/>
      <c r="F13" s="7"/>
      <c r="G13" s="7"/>
      <c r="H13" s="7"/>
      <c r="I13" s="7"/>
      <c r="J13" s="7"/>
    </row>
    <row r="14" spans="1:11" x14ac:dyDescent="0.25">
      <c r="A14" s="6" t="s">
        <v>12</v>
      </c>
      <c r="B14" s="7"/>
      <c r="C14" s="7"/>
      <c r="D14" s="7"/>
      <c r="E14" s="7"/>
      <c r="F14" s="7"/>
      <c r="G14" s="7"/>
      <c r="H14" s="7"/>
      <c r="I14" s="7"/>
      <c r="J14" s="7"/>
    </row>
    <row r="15" spans="1:11" x14ac:dyDescent="0.25">
      <c r="A15" s="9" t="s">
        <v>39</v>
      </c>
      <c r="B15" s="9"/>
      <c r="C15" s="9"/>
      <c r="D15" s="9"/>
      <c r="E15" s="9"/>
      <c r="F15" s="9"/>
      <c r="G15" s="9"/>
      <c r="H15" s="9"/>
      <c r="I15" s="9"/>
      <c r="J15" s="9"/>
    </row>
    <row r="16" spans="1:11" x14ac:dyDescent="0.25">
      <c r="A16" s="4" t="s">
        <v>9</v>
      </c>
      <c r="B16" s="5" t="s">
        <v>3</v>
      </c>
      <c r="C16" s="5" t="s">
        <v>4</v>
      </c>
      <c r="D16" s="5" t="s">
        <v>5</v>
      </c>
      <c r="E16" s="5" t="s">
        <v>7</v>
      </c>
      <c r="F16" s="5" t="s">
        <v>8</v>
      </c>
      <c r="G16" s="5" t="s">
        <v>10</v>
      </c>
      <c r="H16" s="5" t="s">
        <v>11</v>
      </c>
      <c r="I16" s="5" t="s">
        <v>23</v>
      </c>
      <c r="J16" s="5" t="s">
        <v>24</v>
      </c>
      <c r="K16" s="1"/>
    </row>
    <row r="17" spans="1:11" x14ac:dyDescent="0.25">
      <c r="A17" s="6" t="s">
        <v>0</v>
      </c>
      <c r="B17" s="7">
        <v>13560</v>
      </c>
      <c r="C17" s="7">
        <v>17700</v>
      </c>
      <c r="D17" s="7">
        <v>13540</v>
      </c>
      <c r="E17" s="7">
        <v>17560</v>
      </c>
      <c r="F17" s="7"/>
      <c r="G17" s="7"/>
      <c r="H17" s="7"/>
      <c r="I17" s="7"/>
      <c r="J17" s="7"/>
      <c r="K17" s="1"/>
    </row>
    <row r="18" spans="1:11" x14ac:dyDescent="0.25">
      <c r="A18" s="6" t="s">
        <v>1</v>
      </c>
      <c r="B18" s="7">
        <v>4000</v>
      </c>
      <c r="C18" s="7">
        <v>4000</v>
      </c>
      <c r="D18" s="7">
        <v>4000</v>
      </c>
      <c r="E18" s="7">
        <v>4000</v>
      </c>
      <c r="F18" s="7"/>
      <c r="G18" s="7"/>
      <c r="H18" s="7"/>
      <c r="I18" s="7"/>
      <c r="J18" s="7"/>
      <c r="K18" s="1"/>
    </row>
    <row r="19" spans="1:11" x14ac:dyDescent="0.25">
      <c r="A19" s="6" t="s">
        <v>2</v>
      </c>
      <c r="B19" s="7">
        <f t="shared" ref="B19" si="2">B17+B18</f>
        <v>17560</v>
      </c>
      <c r="C19" s="7">
        <f>C17+C18</f>
        <v>21700</v>
      </c>
      <c r="D19" s="7">
        <f>D17+D18</f>
        <v>17540</v>
      </c>
      <c r="E19" s="7">
        <f>E17+E18</f>
        <v>21560</v>
      </c>
      <c r="F19" s="7"/>
      <c r="G19" s="7"/>
      <c r="H19" s="7"/>
      <c r="I19" s="7"/>
      <c r="J19" s="7"/>
      <c r="K19" s="1"/>
    </row>
    <row r="20" spans="1:11" x14ac:dyDescent="0.25">
      <c r="A20" s="6" t="s">
        <v>6</v>
      </c>
      <c r="B20" s="7">
        <v>17700</v>
      </c>
      <c r="C20" s="7">
        <v>21840</v>
      </c>
      <c r="D20" s="7">
        <v>17560</v>
      </c>
      <c r="E20" s="7">
        <v>21580</v>
      </c>
      <c r="F20" s="7"/>
      <c r="G20" s="7"/>
      <c r="H20" s="7"/>
      <c r="I20" s="7"/>
      <c r="J20" s="7"/>
      <c r="K20" s="1"/>
    </row>
    <row r="21" spans="1:11" x14ac:dyDescent="0.25">
      <c r="A21" s="6" t="s">
        <v>12</v>
      </c>
      <c r="B21" s="7">
        <f>((B20-B19)/B18)*100</f>
        <v>3.5000000000000004</v>
      </c>
      <c r="C21" s="7">
        <f>((C20-C19)/C18)*100</f>
        <v>3.5000000000000004</v>
      </c>
      <c r="D21" s="7">
        <f>((D20-D19)/D18)*100</f>
        <v>0.5</v>
      </c>
      <c r="E21" s="7">
        <f>((E20-E19)/E18)*100</f>
        <v>0.5</v>
      </c>
      <c r="F21" s="7"/>
      <c r="G21" s="7"/>
      <c r="H21" s="7"/>
      <c r="I21" s="7"/>
      <c r="J21" s="7"/>
      <c r="K21" s="1"/>
    </row>
    <row r="22" spans="1:11" x14ac:dyDescent="0.25">
      <c r="A22" s="9" t="s">
        <v>42</v>
      </c>
      <c r="B22" s="9"/>
      <c r="C22" s="9"/>
      <c r="D22" s="9"/>
      <c r="E22" s="9"/>
      <c r="F22" s="9"/>
      <c r="G22" s="9"/>
      <c r="H22" s="9"/>
      <c r="I22" s="9"/>
      <c r="J22" s="9"/>
    </row>
    <row r="23" spans="1:11" x14ac:dyDescent="0.25">
      <c r="A23" s="4" t="s">
        <v>9</v>
      </c>
      <c r="B23" s="5" t="s">
        <v>3</v>
      </c>
      <c r="C23" s="5" t="s">
        <v>4</v>
      </c>
      <c r="D23" s="5" t="s">
        <v>5</v>
      </c>
      <c r="E23" s="5" t="s">
        <v>7</v>
      </c>
      <c r="F23" s="5" t="s">
        <v>8</v>
      </c>
      <c r="G23" s="5" t="s">
        <v>10</v>
      </c>
      <c r="H23" s="5" t="s">
        <v>11</v>
      </c>
      <c r="I23" s="5" t="s">
        <v>23</v>
      </c>
      <c r="J23" s="5" t="s">
        <v>24</v>
      </c>
    </row>
    <row r="24" spans="1:11" x14ac:dyDescent="0.25">
      <c r="A24" s="6" t="s">
        <v>0</v>
      </c>
      <c r="B24" s="7"/>
      <c r="C24" s="7"/>
      <c r="D24" s="7"/>
      <c r="E24" s="7"/>
      <c r="F24" s="7"/>
      <c r="G24" s="7"/>
      <c r="H24" s="7"/>
      <c r="I24" s="7"/>
      <c r="J24" s="7"/>
      <c r="K24" s="1"/>
    </row>
    <row r="25" spans="1:11" x14ac:dyDescent="0.25">
      <c r="A25" s="6" t="s">
        <v>1</v>
      </c>
      <c r="B25" s="7"/>
      <c r="C25" s="7"/>
      <c r="D25" s="7"/>
      <c r="E25" s="7"/>
      <c r="F25" s="7"/>
      <c r="G25" s="7"/>
      <c r="H25" s="7"/>
      <c r="I25" s="7"/>
      <c r="J25" s="7"/>
      <c r="K25" s="1"/>
    </row>
    <row r="26" spans="1:11" x14ac:dyDescent="0.25">
      <c r="A26" s="6" t="s">
        <v>2</v>
      </c>
      <c r="B26" s="7"/>
      <c r="C26" s="7"/>
      <c r="D26" s="7"/>
      <c r="E26" s="7"/>
      <c r="F26" s="7"/>
      <c r="G26" s="7"/>
      <c r="H26" s="7"/>
      <c r="I26" s="7"/>
      <c r="J26" s="7"/>
      <c r="K26" s="1"/>
    </row>
    <row r="27" spans="1:11" x14ac:dyDescent="0.25">
      <c r="A27" s="6" t="s">
        <v>6</v>
      </c>
      <c r="B27" s="7"/>
      <c r="C27" s="7"/>
      <c r="D27" s="7"/>
      <c r="E27" s="7"/>
      <c r="F27" s="7"/>
      <c r="G27" s="7"/>
      <c r="H27" s="7"/>
      <c r="I27" s="7"/>
      <c r="J27" s="7"/>
      <c r="K27" s="1"/>
    </row>
    <row r="28" spans="1:11" x14ac:dyDescent="0.25">
      <c r="A28" s="6" t="s">
        <v>12</v>
      </c>
      <c r="B28" s="7"/>
      <c r="C28" s="7"/>
      <c r="D28" s="7"/>
      <c r="E28" s="7"/>
      <c r="F28" s="7"/>
      <c r="G28" s="7"/>
      <c r="H28" s="7"/>
      <c r="I28" s="7"/>
      <c r="J28" s="7"/>
      <c r="K28" s="1"/>
    </row>
    <row r="29" spans="1:11" x14ac:dyDescent="0.25">
      <c r="A29" s="9" t="s">
        <v>43</v>
      </c>
      <c r="B29" s="9"/>
      <c r="C29" s="9"/>
      <c r="D29" s="9"/>
      <c r="E29" s="9"/>
      <c r="F29" s="9"/>
      <c r="G29" s="9"/>
      <c r="H29" s="9"/>
      <c r="I29" s="9"/>
      <c r="J29" s="9"/>
    </row>
    <row r="30" spans="1:11" x14ac:dyDescent="0.25">
      <c r="A30" s="4" t="s">
        <v>9</v>
      </c>
      <c r="B30" s="5" t="s">
        <v>3</v>
      </c>
      <c r="C30" s="5" t="s">
        <v>4</v>
      </c>
      <c r="D30" s="5" t="s">
        <v>5</v>
      </c>
      <c r="E30" s="5" t="s">
        <v>7</v>
      </c>
      <c r="F30" s="5" t="s">
        <v>8</v>
      </c>
      <c r="G30" s="5" t="s">
        <v>10</v>
      </c>
      <c r="H30" s="5" t="s">
        <v>11</v>
      </c>
      <c r="I30" s="5" t="s">
        <v>23</v>
      </c>
      <c r="J30" s="5" t="s">
        <v>24</v>
      </c>
    </row>
    <row r="31" spans="1:11" x14ac:dyDescent="0.25">
      <c r="A31" s="6" t="s">
        <v>0</v>
      </c>
      <c r="B31" s="7">
        <v>15420</v>
      </c>
      <c r="C31" s="7">
        <v>17440</v>
      </c>
      <c r="D31" s="7"/>
      <c r="E31" s="7"/>
      <c r="F31" s="7"/>
      <c r="G31" s="7"/>
      <c r="H31" s="7"/>
      <c r="I31" s="7"/>
      <c r="J31" s="7"/>
    </row>
    <row r="32" spans="1:11" x14ac:dyDescent="0.25">
      <c r="A32" s="6" t="s">
        <v>1</v>
      </c>
      <c r="B32" s="7">
        <v>2000</v>
      </c>
      <c r="C32" s="7">
        <v>2000</v>
      </c>
      <c r="D32" s="7"/>
      <c r="E32" s="7"/>
      <c r="F32" s="7"/>
      <c r="G32" s="7"/>
      <c r="H32" s="7"/>
      <c r="I32" s="7"/>
      <c r="J32" s="7"/>
    </row>
    <row r="33" spans="1:10" x14ac:dyDescent="0.25">
      <c r="A33" s="6" t="s">
        <v>2</v>
      </c>
      <c r="B33" s="7">
        <f t="shared" ref="B33:C33" si="3">B31+B32</f>
        <v>17420</v>
      </c>
      <c r="C33" s="7">
        <f t="shared" si="3"/>
        <v>19440</v>
      </c>
      <c r="D33" s="7"/>
      <c r="E33" s="7"/>
      <c r="F33" s="7"/>
      <c r="G33" s="7"/>
      <c r="H33" s="7"/>
      <c r="I33" s="7"/>
      <c r="J33" s="7"/>
    </row>
    <row r="34" spans="1:10" x14ac:dyDescent="0.25">
      <c r="A34" s="6" t="s">
        <v>6</v>
      </c>
      <c r="B34" s="7">
        <v>17440</v>
      </c>
      <c r="C34" s="7">
        <v>19460</v>
      </c>
      <c r="D34" s="7"/>
      <c r="E34" s="7"/>
      <c r="F34" s="7"/>
      <c r="G34" s="7"/>
      <c r="H34" s="7"/>
      <c r="I34" s="7"/>
      <c r="J34" s="7"/>
    </row>
    <row r="35" spans="1:10" x14ac:dyDescent="0.25">
      <c r="A35" s="6" t="s">
        <v>12</v>
      </c>
      <c r="B35" s="7">
        <f t="shared" ref="B35:C35" si="4">((B34-B33)/B32)*100</f>
        <v>1</v>
      </c>
      <c r="C35" s="7">
        <f t="shared" si="4"/>
        <v>1</v>
      </c>
      <c r="D35" s="7"/>
      <c r="E35" s="7"/>
      <c r="F35" s="7"/>
      <c r="G35" s="7"/>
      <c r="H35" s="7"/>
      <c r="I35" s="7"/>
      <c r="J35" s="7"/>
    </row>
  </sheetData>
  <mergeCells count="5">
    <mergeCell ref="A15:J15"/>
    <mergeCell ref="A8:J8"/>
    <mergeCell ref="A1:J1"/>
    <mergeCell ref="A22:J22"/>
    <mergeCell ref="A29:J29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CAL 18.02</vt:lpstr>
      <vt:lpstr>CAL 20.03</vt:lpstr>
      <vt:lpstr>CAL.02.04 </vt:lpstr>
      <vt:lpstr>CAL.14.04 </vt:lpstr>
      <vt:lpstr>CAL.07.05 </vt:lpstr>
      <vt:lpstr>CAL.04.03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Henrique Santiago de Souza</dc:creator>
  <cp:lastModifiedBy>Lucas Santiago</cp:lastModifiedBy>
  <dcterms:created xsi:type="dcterms:W3CDTF">2015-06-05T18:19:34Z</dcterms:created>
  <dcterms:modified xsi:type="dcterms:W3CDTF">2026-03-05T04:26:24Z</dcterms:modified>
</cp:coreProperties>
</file>